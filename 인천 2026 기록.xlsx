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milyinter-my.sharepoint.com/personal/hwlee_familyinter_onmicrosoft_com/Documents/바탕 화면/프로젝트300/대시보드/인천 대시보드/"/>
    </mc:Choice>
  </mc:AlternateContent>
  <xr:revisionPtr revIDLastSave="1210" documentId="11_0F6BF197949C94B063893377604B65CBEB673EAF" xr6:coauthVersionLast="47" xr6:coauthVersionMax="47" xr10:uidLastSave="{6DDB606E-B619-4BAE-903E-6C3CD5BA9300}"/>
  <bookViews>
    <workbookView xWindow="760" yWindow="760" windowWidth="14400" windowHeight="8170" xr2:uid="{00000000-000D-0000-FFFF-FFFF00000000}"/>
  </bookViews>
  <sheets>
    <sheet name="2026 토탈" sheetId="1" r:id="rId1"/>
    <sheet name="출전기록 (26)" sheetId="2" r:id="rId2"/>
    <sheet name="2025 토탈" sheetId="3" r:id="rId3"/>
    <sheet name="출전기록 (25)" sheetId="4" r:id="rId4"/>
    <sheet name="25스쿼드" sheetId="5" r:id="rId5"/>
    <sheet name="Sheet2" sheetId="6" r:id="rId6"/>
    <sheet name="2024 토탈" sheetId="7" r:id="rId7"/>
    <sheet name="출전기록" sheetId="8" r:id="rId8"/>
    <sheet name="관중기록" sheetId="9" r:id="rId9"/>
    <sheet name="Sheet1" sheetId="10" r:id="rId10"/>
    <sheet name="2023 토탈" sheetId="11" r:id="rId11"/>
    <sheet name="2023 리그" sheetId="12" r:id="rId12"/>
    <sheet name="2023 ACL" sheetId="13" r:id="rId13"/>
    <sheet name="2023 FA컵" sheetId="14" r:id="rId14"/>
    <sheet name="2022" sheetId="15" r:id="rId15"/>
    <sheet name="2021" sheetId="16" r:id="rId16"/>
    <sheet name="2023 스쿼드" sheetId="17" r:id="rId17"/>
  </sheets>
  <definedNames>
    <definedName name="_xlnm._FilterDatabase" localSheetId="12" hidden="1">'2023 ACL'!$A$2:$T$40</definedName>
    <definedName name="_xlnm._FilterDatabase" localSheetId="13" hidden="1">'2023 FA컵'!$A$2:$T$40</definedName>
    <definedName name="_xlnm._FilterDatabase" localSheetId="10" hidden="1">'2023 토탈'!$A$2:$V$56</definedName>
    <definedName name="_xlnm._FilterDatabase" localSheetId="0" hidden="1">'2026 토탈'!$A$2:$V$45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4" i="1" l="1"/>
  <c r="BQ13" i="1"/>
  <c r="BQ12" i="1"/>
  <c r="BQ11" i="1"/>
  <c r="BQ10" i="1"/>
  <c r="BQ9" i="1"/>
  <c r="BQ8" i="1"/>
  <c r="BQ7" i="1"/>
  <c r="BQ6" i="1"/>
  <c r="BQ5" i="1"/>
  <c r="BQ4" i="1"/>
  <c r="BQ3" i="1"/>
  <c r="S39" i="16"/>
  <c r="R39" i="16"/>
  <c r="O39" i="16"/>
  <c r="N39" i="16"/>
  <c r="M39" i="16"/>
  <c r="S38" i="16"/>
  <c r="R38" i="16"/>
  <c r="O38" i="16"/>
  <c r="N38" i="16"/>
  <c r="M38" i="16"/>
  <c r="S37" i="16"/>
  <c r="R37" i="16"/>
  <c r="O37" i="16"/>
  <c r="N37" i="16"/>
  <c r="M37" i="16"/>
  <c r="S36" i="16"/>
  <c r="R36" i="16"/>
  <c r="T36" i="16" s="1"/>
  <c r="O36" i="16"/>
  <c r="N36" i="16"/>
  <c r="M36" i="16"/>
  <c r="S35" i="16"/>
  <c r="R35" i="16"/>
  <c r="O35" i="16"/>
  <c r="N35" i="16"/>
  <c r="M35" i="16"/>
  <c r="S34" i="16"/>
  <c r="R34" i="16"/>
  <c r="O34" i="16"/>
  <c r="N34" i="16"/>
  <c r="M34" i="16"/>
  <c r="S33" i="16"/>
  <c r="R33" i="16"/>
  <c r="O33" i="16"/>
  <c r="N33" i="16"/>
  <c r="M33" i="16"/>
  <c r="S32" i="16"/>
  <c r="R32" i="16"/>
  <c r="O32" i="16"/>
  <c r="N32" i="16"/>
  <c r="M32" i="16"/>
  <c r="S31" i="16"/>
  <c r="R31" i="16"/>
  <c r="O31" i="16"/>
  <c r="N31" i="16"/>
  <c r="M31" i="16"/>
  <c r="S30" i="16"/>
  <c r="R30" i="16"/>
  <c r="O30" i="16"/>
  <c r="N30" i="16"/>
  <c r="M30" i="16"/>
  <c r="S29" i="16"/>
  <c r="R29" i="16"/>
  <c r="O29" i="16"/>
  <c r="N29" i="16"/>
  <c r="M29" i="16"/>
  <c r="S25" i="16"/>
  <c r="R25" i="16"/>
  <c r="O25" i="16"/>
  <c r="N25" i="16"/>
  <c r="M25" i="16"/>
  <c r="S24" i="16"/>
  <c r="R24" i="16"/>
  <c r="O24" i="16"/>
  <c r="N24" i="16"/>
  <c r="N26" i="16" s="1"/>
  <c r="M24" i="16"/>
  <c r="O21" i="16"/>
  <c r="N21" i="16"/>
  <c r="M21" i="16"/>
  <c r="L21" i="16" s="1"/>
  <c r="O20" i="16"/>
  <c r="N20" i="16"/>
  <c r="M20" i="16"/>
  <c r="O19" i="16"/>
  <c r="N19" i="16"/>
  <c r="M19" i="16"/>
  <c r="O18" i="16"/>
  <c r="N18" i="16"/>
  <c r="M18" i="16"/>
  <c r="L18" i="16" s="1"/>
  <c r="Q18" i="16" s="1"/>
  <c r="O17" i="16"/>
  <c r="N17" i="16"/>
  <c r="M17" i="16"/>
  <c r="O14" i="16"/>
  <c r="N14" i="16"/>
  <c r="M14" i="16"/>
  <c r="P14" i="16" s="1"/>
  <c r="O13" i="16"/>
  <c r="N13" i="16"/>
  <c r="M13" i="16"/>
  <c r="P13" i="16" s="1"/>
  <c r="O12" i="16"/>
  <c r="N12" i="16"/>
  <c r="M12" i="16"/>
  <c r="O11" i="16"/>
  <c r="N11" i="16"/>
  <c r="M11" i="16"/>
  <c r="L11" i="16" s="1"/>
  <c r="O10" i="16"/>
  <c r="N10" i="16"/>
  <c r="M10" i="16"/>
  <c r="O6" i="16"/>
  <c r="N6" i="16"/>
  <c r="M6" i="16"/>
  <c r="O5" i="16"/>
  <c r="N5" i="16"/>
  <c r="M5" i="16"/>
  <c r="L5" i="16"/>
  <c r="O4" i="16"/>
  <c r="N4" i="16"/>
  <c r="L4" i="16" s="1"/>
  <c r="M4" i="16"/>
  <c r="O3" i="16"/>
  <c r="O7" i="16" s="1"/>
  <c r="N3" i="16"/>
  <c r="M3" i="16"/>
  <c r="M7" i="16" s="1"/>
  <c r="AL39" i="15"/>
  <c r="AK39" i="15"/>
  <c r="AH39" i="15"/>
  <c r="AG39" i="15"/>
  <c r="AF39" i="15"/>
  <c r="AE39" i="15" s="1"/>
  <c r="AL38" i="15"/>
  <c r="AK38" i="15"/>
  <c r="AH38" i="15"/>
  <c r="AG38" i="15"/>
  <c r="AF38" i="15"/>
  <c r="AI38" i="15" s="1"/>
  <c r="AL37" i="15"/>
  <c r="AK37" i="15"/>
  <c r="AH37" i="15"/>
  <c r="AG37" i="15"/>
  <c r="AF37" i="15"/>
  <c r="AI37" i="15" s="1"/>
  <c r="AA37" i="15"/>
  <c r="X37" i="15"/>
  <c r="AL36" i="15"/>
  <c r="AK36" i="15"/>
  <c r="AH36" i="15"/>
  <c r="AG36" i="15"/>
  <c r="AF36" i="15"/>
  <c r="AA36" i="15"/>
  <c r="X36" i="15"/>
  <c r="AL35" i="15"/>
  <c r="AK35" i="15"/>
  <c r="AH35" i="15"/>
  <c r="AG35" i="15"/>
  <c r="AF35" i="15"/>
  <c r="AE35" i="15" s="1"/>
  <c r="AJ35" i="15" s="1"/>
  <c r="AA35" i="15"/>
  <c r="X35" i="15"/>
  <c r="AM34" i="15"/>
  <c r="AL34" i="15"/>
  <c r="AK34" i="15"/>
  <c r="AH34" i="15"/>
  <c r="AG34" i="15"/>
  <c r="AF34" i="15"/>
  <c r="AA34" i="15"/>
  <c r="X34" i="15"/>
  <c r="AL33" i="15"/>
  <c r="AK33" i="15"/>
  <c r="AH33" i="15"/>
  <c r="AG33" i="15"/>
  <c r="AF33" i="15"/>
  <c r="AA33" i="15"/>
  <c r="X33" i="15"/>
  <c r="AL32" i="15"/>
  <c r="AK32" i="15"/>
  <c r="AM32" i="15" s="1"/>
  <c r="AH32" i="15"/>
  <c r="AG32" i="15"/>
  <c r="AF32" i="15"/>
  <c r="AA32" i="15"/>
  <c r="X32" i="15"/>
  <c r="AL31" i="15"/>
  <c r="AK31" i="15"/>
  <c r="AH31" i="15"/>
  <c r="AG31" i="15"/>
  <c r="AF31" i="15"/>
  <c r="AA31" i="15"/>
  <c r="X31" i="15"/>
  <c r="AL30" i="15"/>
  <c r="AK30" i="15"/>
  <c r="AM30" i="15" s="1"/>
  <c r="AH30" i="15"/>
  <c r="AG30" i="15"/>
  <c r="AF30" i="15"/>
  <c r="AE30" i="15" s="1"/>
  <c r="AA30" i="15"/>
  <c r="X30" i="15"/>
  <c r="AL29" i="15"/>
  <c r="AK29" i="15"/>
  <c r="AH29" i="15"/>
  <c r="AG29" i="15"/>
  <c r="AF29" i="15"/>
  <c r="AA29" i="15"/>
  <c r="X29" i="15"/>
  <c r="AA28" i="15"/>
  <c r="X28" i="15"/>
  <c r="AA27" i="15"/>
  <c r="X27" i="15"/>
  <c r="AL26" i="15"/>
  <c r="AK26" i="15"/>
  <c r="AH26" i="15"/>
  <c r="AG26" i="15"/>
  <c r="AF26" i="15"/>
  <c r="AA26" i="15"/>
  <c r="X26" i="15"/>
  <c r="AL25" i="15"/>
  <c r="AL27" i="15" s="1"/>
  <c r="AK25" i="15"/>
  <c r="AH25" i="15"/>
  <c r="AH27" i="15" s="1"/>
  <c r="AG25" i="15"/>
  <c r="AG27" i="15" s="1"/>
  <c r="AF25" i="15"/>
  <c r="AF27" i="15" s="1"/>
  <c r="AA25" i="15"/>
  <c r="X25" i="15"/>
  <c r="AA24" i="15"/>
  <c r="X24" i="15"/>
  <c r="AA23" i="15"/>
  <c r="X23" i="15"/>
  <c r="AS22" i="15"/>
  <c r="AR22" i="15"/>
  <c r="AQ22" i="15"/>
  <c r="AP22" i="15" s="1"/>
  <c r="AA22" i="15"/>
  <c r="X22" i="15"/>
  <c r="AS21" i="15"/>
  <c r="AR21" i="15"/>
  <c r="AQ21" i="15"/>
  <c r="AP21" i="15" s="1"/>
  <c r="AA21" i="15"/>
  <c r="X21" i="15"/>
  <c r="AS20" i="15"/>
  <c r="AR20" i="15"/>
  <c r="AQ20" i="15"/>
  <c r="AP20" i="15" s="1"/>
  <c r="AH20" i="15"/>
  <c r="AG20" i="15"/>
  <c r="AI20" i="15" s="1"/>
  <c r="AF20" i="15"/>
  <c r="AA20" i="15"/>
  <c r="X20" i="15"/>
  <c r="AS19" i="15"/>
  <c r="AR19" i="15"/>
  <c r="AQ19" i="15"/>
  <c r="AP19" i="15"/>
  <c r="AH19" i="15"/>
  <c r="AG19" i="15"/>
  <c r="AF19" i="15"/>
  <c r="AA19" i="15"/>
  <c r="X19" i="15"/>
  <c r="AS18" i="15"/>
  <c r="AR18" i="15"/>
  <c r="AQ18" i="15"/>
  <c r="AI18" i="15"/>
  <c r="AH18" i="15"/>
  <c r="AE18" i="15" s="1"/>
  <c r="AJ18" i="15" s="1"/>
  <c r="AG18" i="15"/>
  <c r="AF18" i="15"/>
  <c r="AA18" i="15"/>
  <c r="X18" i="15"/>
  <c r="AS17" i="15"/>
  <c r="AR17" i="15"/>
  <c r="AQ17" i="15"/>
  <c r="AP17" i="15" s="1"/>
  <c r="AH17" i="15"/>
  <c r="AG17" i="15"/>
  <c r="AF17" i="15"/>
  <c r="AA17" i="15"/>
  <c r="X17" i="15"/>
  <c r="AT16" i="15"/>
  <c r="AS16" i="15"/>
  <c r="AP16" i="15" s="1"/>
  <c r="AR16" i="15"/>
  <c r="AQ16" i="15"/>
  <c r="AA16" i="15"/>
  <c r="X16" i="15"/>
  <c r="AS15" i="15"/>
  <c r="AR15" i="15"/>
  <c r="AQ15" i="15"/>
  <c r="AP15" i="15" s="1"/>
  <c r="AA15" i="15"/>
  <c r="X15" i="15"/>
  <c r="AA14" i="15"/>
  <c r="X14" i="15"/>
  <c r="AS13" i="15"/>
  <c r="AR13" i="15"/>
  <c r="AQ13" i="15"/>
  <c r="AP13" i="15"/>
  <c r="AH13" i="15"/>
  <c r="AG13" i="15"/>
  <c r="AF13" i="15"/>
  <c r="AA13" i="15"/>
  <c r="X13" i="15"/>
  <c r="AS12" i="15"/>
  <c r="AR12" i="15"/>
  <c r="AQ12" i="15"/>
  <c r="AU12" i="15" s="1"/>
  <c r="AP12" i="15"/>
  <c r="AH12" i="15"/>
  <c r="AG12" i="15"/>
  <c r="AF12" i="15"/>
  <c r="AE12" i="15" s="1"/>
  <c r="AJ12" i="15" s="1"/>
  <c r="AA12" i="15"/>
  <c r="X12" i="15"/>
  <c r="AS11" i="15"/>
  <c r="AR11" i="15"/>
  <c r="AT11" i="15" s="1"/>
  <c r="AQ11" i="15"/>
  <c r="AH11" i="15"/>
  <c r="AG11" i="15"/>
  <c r="AI11" i="15" s="1"/>
  <c r="AF11" i="15"/>
  <c r="AA11" i="15"/>
  <c r="X11" i="15"/>
  <c r="AS10" i="15"/>
  <c r="AR10" i="15"/>
  <c r="AQ10" i="15"/>
  <c r="AH10" i="15"/>
  <c r="AG10" i="15"/>
  <c r="AF10" i="15"/>
  <c r="AA10" i="15"/>
  <c r="X10" i="15"/>
  <c r="AS9" i="15"/>
  <c r="AR9" i="15"/>
  <c r="AQ9" i="15"/>
  <c r="AA9" i="15"/>
  <c r="X9" i="15"/>
  <c r="AS8" i="15"/>
  <c r="AR8" i="15"/>
  <c r="AQ8" i="15"/>
  <c r="AA8" i="15"/>
  <c r="X8" i="15"/>
  <c r="AS7" i="15"/>
  <c r="AR7" i="15"/>
  <c r="AQ7" i="15"/>
  <c r="AA7" i="15"/>
  <c r="X7" i="15"/>
  <c r="AS6" i="15"/>
  <c r="AR6" i="15"/>
  <c r="AQ6" i="15"/>
  <c r="AH6" i="15"/>
  <c r="AG6" i="15"/>
  <c r="AF6" i="15"/>
  <c r="AA6" i="15"/>
  <c r="X6" i="15"/>
  <c r="AS5" i="15"/>
  <c r="AR5" i="15"/>
  <c r="AQ5" i="15"/>
  <c r="AH5" i="15"/>
  <c r="AG5" i="15"/>
  <c r="AF5" i="15"/>
  <c r="AE5" i="15" s="1"/>
  <c r="AA5" i="15"/>
  <c r="X5" i="15"/>
  <c r="AS4" i="15"/>
  <c r="AR4" i="15"/>
  <c r="AQ4" i="15"/>
  <c r="AP4" i="15" s="1"/>
  <c r="AH4" i="15"/>
  <c r="AG4" i="15"/>
  <c r="AF4" i="15"/>
  <c r="AJ4" i="15" s="1"/>
  <c r="AE4" i="15"/>
  <c r="AA4" i="15"/>
  <c r="X4" i="15"/>
  <c r="AS3" i="15"/>
  <c r="AR3" i="15"/>
  <c r="AT3" i="15" s="1"/>
  <c r="AQ3" i="15"/>
  <c r="AH3" i="15"/>
  <c r="AG3" i="15"/>
  <c r="AF3" i="15"/>
  <c r="AA3" i="15"/>
  <c r="X3" i="15"/>
  <c r="Y40" i="14"/>
  <c r="X40" i="14"/>
  <c r="Y39" i="14"/>
  <c r="X39" i="14"/>
  <c r="Y38" i="14"/>
  <c r="Z38" i="14" s="1"/>
  <c r="X38" i="14"/>
  <c r="Y37" i="14"/>
  <c r="X37" i="14"/>
  <c r="Z37" i="14" s="1"/>
  <c r="Y36" i="14"/>
  <c r="X36" i="14"/>
  <c r="Z36" i="14" s="1"/>
  <c r="Y35" i="14"/>
  <c r="X35" i="14"/>
  <c r="Y34" i="14"/>
  <c r="X34" i="14"/>
  <c r="Z34" i="14" s="1"/>
  <c r="Y33" i="14"/>
  <c r="X33" i="14"/>
  <c r="AL32" i="14"/>
  <c r="AK32" i="14"/>
  <c r="AJ32" i="14"/>
  <c r="AG32" i="14"/>
  <c r="AF32" i="14"/>
  <c r="AE32" i="14"/>
  <c r="Y32" i="14"/>
  <c r="X32" i="14"/>
  <c r="Z32" i="14" s="1"/>
  <c r="AK31" i="14"/>
  <c r="AJ31" i="14"/>
  <c r="AL31" i="14" s="1"/>
  <c r="AH31" i="14"/>
  <c r="AG31" i="14"/>
  <c r="AF31" i="14"/>
  <c r="AE31" i="14"/>
  <c r="Y31" i="14"/>
  <c r="X31" i="14"/>
  <c r="Z31" i="14" s="1"/>
  <c r="AK30" i="14"/>
  <c r="AJ30" i="14"/>
  <c r="AG30" i="14"/>
  <c r="AF30" i="14"/>
  <c r="AE30" i="14"/>
  <c r="Y30" i="14"/>
  <c r="X30" i="14"/>
  <c r="Z30" i="14" s="1"/>
  <c r="Y29" i="14"/>
  <c r="X29" i="14"/>
  <c r="Z29" i="14" s="1"/>
  <c r="AK28" i="14"/>
  <c r="Y28" i="14"/>
  <c r="X28" i="14"/>
  <c r="AK27" i="14"/>
  <c r="AJ27" i="14"/>
  <c r="AG27" i="14"/>
  <c r="AF27" i="14"/>
  <c r="AH27" i="14" s="1"/>
  <c r="AE27" i="14"/>
  <c r="Y27" i="14"/>
  <c r="X27" i="14"/>
  <c r="Z27" i="14" s="1"/>
  <c r="AL26" i="14"/>
  <c r="AK26" i="14"/>
  <c r="AJ26" i="14"/>
  <c r="AG26" i="14"/>
  <c r="AG28" i="14" s="1"/>
  <c r="AF26" i="14"/>
  <c r="AE26" i="14"/>
  <c r="AE28" i="14" s="1"/>
  <c r="Y26" i="14"/>
  <c r="X26" i="14"/>
  <c r="Y25" i="14"/>
  <c r="X25" i="14"/>
  <c r="Y24" i="14"/>
  <c r="X24" i="14"/>
  <c r="Y23" i="14"/>
  <c r="X23" i="14"/>
  <c r="Z23" i="14" s="1"/>
  <c r="Y22" i="14"/>
  <c r="X22" i="14"/>
  <c r="Z22" i="14" s="1"/>
  <c r="Y21" i="14"/>
  <c r="X21" i="14"/>
  <c r="Y20" i="14"/>
  <c r="X20" i="14"/>
  <c r="Z20" i="14" s="1"/>
  <c r="Y19" i="14"/>
  <c r="X19" i="14"/>
  <c r="Y18" i="14"/>
  <c r="X18" i="14"/>
  <c r="Z17" i="14"/>
  <c r="Y17" i="14"/>
  <c r="X17" i="14"/>
  <c r="Y16" i="14"/>
  <c r="X16" i="14"/>
  <c r="Z16" i="14" s="1"/>
  <c r="AR15" i="14"/>
  <c r="AO15" i="14" s="1"/>
  <c r="AQ15" i="14"/>
  <c r="AP15" i="14"/>
  <c r="AS15" i="14" s="1"/>
  <c r="Z15" i="14"/>
  <c r="Y15" i="14"/>
  <c r="X15" i="14"/>
  <c r="AH14" i="14"/>
  <c r="AG14" i="14"/>
  <c r="AF14" i="14"/>
  <c r="AE14" i="14"/>
  <c r="Y14" i="14"/>
  <c r="X14" i="14"/>
  <c r="Z14" i="14" s="1"/>
  <c r="AG13" i="14"/>
  <c r="AF13" i="14"/>
  <c r="AE13" i="14"/>
  <c r="Y13" i="14"/>
  <c r="X13" i="14"/>
  <c r="Y12" i="14"/>
  <c r="Z12" i="14" s="1"/>
  <c r="X12" i="14"/>
  <c r="Y11" i="14"/>
  <c r="X11" i="14"/>
  <c r="Z11" i="14" s="1"/>
  <c r="Y10" i="14"/>
  <c r="X10" i="14"/>
  <c r="Z10" i="14" s="1"/>
  <c r="AG9" i="14"/>
  <c r="AF9" i="14"/>
  <c r="AE9" i="14"/>
  <c r="Y9" i="14"/>
  <c r="X9" i="14"/>
  <c r="Z9" i="14" s="1"/>
  <c r="AG8" i="14"/>
  <c r="AF8" i="14"/>
  <c r="AE8" i="14"/>
  <c r="Y8" i="14"/>
  <c r="X8" i="14"/>
  <c r="Z8" i="14" s="1"/>
  <c r="Y7" i="14"/>
  <c r="X7" i="14"/>
  <c r="Y6" i="14"/>
  <c r="X6" i="14"/>
  <c r="Z6" i="14" s="1"/>
  <c r="Y5" i="14"/>
  <c r="X5" i="14"/>
  <c r="Z5" i="14" s="1"/>
  <c r="AG4" i="14"/>
  <c r="AF4" i="14"/>
  <c r="AE4" i="14"/>
  <c r="Y4" i="14"/>
  <c r="X4" i="14"/>
  <c r="Z4" i="14" s="1"/>
  <c r="AR3" i="14"/>
  <c r="AQ3" i="14"/>
  <c r="AP3" i="14"/>
  <c r="AG3" i="14"/>
  <c r="AF3" i="14"/>
  <c r="AE3" i="14"/>
  <c r="AD3" i="14" s="1"/>
  <c r="Z3" i="14"/>
  <c r="Y3" i="14"/>
  <c r="X3" i="14"/>
  <c r="Y40" i="13"/>
  <c r="X40" i="13"/>
  <c r="Z39" i="13"/>
  <c r="Y39" i="13"/>
  <c r="X39" i="13"/>
  <c r="Y38" i="13"/>
  <c r="Z38" i="13" s="1"/>
  <c r="X38" i="13"/>
  <c r="Y37" i="13"/>
  <c r="X37" i="13"/>
  <c r="Z37" i="13" s="1"/>
  <c r="Y36" i="13"/>
  <c r="X36" i="13"/>
  <c r="Z36" i="13" s="1"/>
  <c r="Y35" i="13"/>
  <c r="X35" i="13"/>
  <c r="Z35" i="13" s="1"/>
  <c r="Y34" i="13"/>
  <c r="X34" i="13"/>
  <c r="AK33" i="13"/>
  <c r="AJ33" i="13"/>
  <c r="AL33" i="13" s="1"/>
  <c r="AH33" i="13"/>
  <c r="AG33" i="13"/>
  <c r="AF33" i="13"/>
  <c r="AE33" i="13"/>
  <c r="Y33" i="13"/>
  <c r="X33" i="13"/>
  <c r="Z33" i="13" s="1"/>
  <c r="AK32" i="13"/>
  <c r="AJ32" i="13"/>
  <c r="AL32" i="13" s="1"/>
  <c r="AG32" i="13"/>
  <c r="AF32" i="13"/>
  <c r="AE32" i="13"/>
  <c r="AH32" i="13" s="1"/>
  <c r="Y32" i="13"/>
  <c r="X32" i="13"/>
  <c r="Z32" i="13" s="1"/>
  <c r="AK31" i="13"/>
  <c r="AJ31" i="13"/>
  <c r="AG31" i="13"/>
  <c r="AF31" i="13"/>
  <c r="AE31" i="13"/>
  <c r="AD31" i="13" s="1"/>
  <c r="Y31" i="13"/>
  <c r="X31" i="13"/>
  <c r="Z31" i="13" s="1"/>
  <c r="AL30" i="13"/>
  <c r="AK30" i="13"/>
  <c r="AJ30" i="13"/>
  <c r="AG30" i="13"/>
  <c r="AF30" i="13"/>
  <c r="AE30" i="13"/>
  <c r="AD30" i="13" s="1"/>
  <c r="Y30" i="13"/>
  <c r="X30" i="13"/>
  <c r="Z30" i="13" s="1"/>
  <c r="Z29" i="13"/>
  <c r="Y29" i="13"/>
  <c r="X29" i="13"/>
  <c r="Y28" i="13"/>
  <c r="X28" i="13"/>
  <c r="Z28" i="13" s="1"/>
  <c r="AK27" i="13"/>
  <c r="AJ27" i="13"/>
  <c r="AG27" i="13"/>
  <c r="AF27" i="13"/>
  <c r="AE27" i="13"/>
  <c r="Y27" i="13"/>
  <c r="Z27" i="13" s="1"/>
  <c r="X27" i="13"/>
  <c r="AK26" i="13"/>
  <c r="AL26" i="13" s="1"/>
  <c r="AJ26" i="13"/>
  <c r="AG26" i="13"/>
  <c r="AG28" i="13" s="1"/>
  <c r="AF26" i="13"/>
  <c r="AF28" i="13" s="1"/>
  <c r="AE26" i="13"/>
  <c r="Z26" i="13"/>
  <c r="Y26" i="13"/>
  <c r="X26" i="13"/>
  <c r="Y25" i="13"/>
  <c r="Z25" i="13" s="1"/>
  <c r="X25" i="13"/>
  <c r="Z24" i="13"/>
  <c r="Y24" i="13"/>
  <c r="X24" i="13"/>
  <c r="Y23" i="13"/>
  <c r="Z23" i="13" s="1"/>
  <c r="X23" i="13"/>
  <c r="Y22" i="13"/>
  <c r="X22" i="13"/>
  <c r="Z22" i="13" s="1"/>
  <c r="Y21" i="13"/>
  <c r="X21" i="13"/>
  <c r="Y20" i="13"/>
  <c r="Z20" i="13" s="1"/>
  <c r="X20" i="13"/>
  <c r="Y19" i="13"/>
  <c r="Z19" i="13" s="1"/>
  <c r="X19" i="13"/>
  <c r="Y18" i="13"/>
  <c r="X18" i="13"/>
  <c r="Z18" i="13" s="1"/>
  <c r="AR17" i="13"/>
  <c r="AQ17" i="13"/>
  <c r="AP17" i="13"/>
  <c r="AO17" i="13" s="1"/>
  <c r="Y17" i="13"/>
  <c r="X17" i="13"/>
  <c r="AR16" i="13"/>
  <c r="AQ16" i="13"/>
  <c r="AP16" i="13"/>
  <c r="Y16" i="13"/>
  <c r="X16" i="13"/>
  <c r="Z16" i="13" s="1"/>
  <c r="AR15" i="13"/>
  <c r="AQ15" i="13"/>
  <c r="AP15" i="13"/>
  <c r="AS15" i="13" s="1"/>
  <c r="Y15" i="13"/>
  <c r="Z15" i="13" s="1"/>
  <c r="X15" i="13"/>
  <c r="AG14" i="13"/>
  <c r="AF14" i="13"/>
  <c r="AE14" i="13"/>
  <c r="Z14" i="13"/>
  <c r="Y14" i="13"/>
  <c r="X14" i="13"/>
  <c r="AG13" i="13"/>
  <c r="AF13" i="13"/>
  <c r="AE13" i="13"/>
  <c r="Y13" i="13"/>
  <c r="X13" i="13"/>
  <c r="Y12" i="13"/>
  <c r="X12" i="13"/>
  <c r="Z12" i="13" s="1"/>
  <c r="Y11" i="13"/>
  <c r="Z11" i="13" s="1"/>
  <c r="X11" i="13"/>
  <c r="Y10" i="13"/>
  <c r="X10" i="13"/>
  <c r="Z10" i="13" s="1"/>
  <c r="AG9" i="13"/>
  <c r="AF9" i="13"/>
  <c r="AE9" i="13"/>
  <c r="Y9" i="13"/>
  <c r="X9" i="13"/>
  <c r="Z9" i="13" s="1"/>
  <c r="AG8" i="13"/>
  <c r="AF8" i="13"/>
  <c r="AE8" i="13"/>
  <c r="Y8" i="13"/>
  <c r="X8" i="13"/>
  <c r="Z7" i="13"/>
  <c r="Y7" i="13"/>
  <c r="X7" i="13"/>
  <c r="Y6" i="13"/>
  <c r="X6" i="13"/>
  <c r="AR5" i="13"/>
  <c r="AQ5" i="13"/>
  <c r="AP5" i="13"/>
  <c r="Z5" i="13"/>
  <c r="Y5" i="13"/>
  <c r="X5" i="13"/>
  <c r="AR4" i="13"/>
  <c r="AQ4" i="13"/>
  <c r="AS4" i="13" s="1"/>
  <c r="AP4" i="13"/>
  <c r="AG4" i="13"/>
  <c r="AF4" i="13"/>
  <c r="AE4" i="13"/>
  <c r="AD4" i="13" s="1"/>
  <c r="Z4" i="13"/>
  <c r="Y4" i="13"/>
  <c r="X4" i="13"/>
  <c r="AR3" i="13"/>
  <c r="AQ3" i="13"/>
  <c r="AS3" i="13" s="1"/>
  <c r="AP3" i="13"/>
  <c r="AO3" i="13"/>
  <c r="AT3" i="13" s="1"/>
  <c r="AG3" i="13"/>
  <c r="AF3" i="13"/>
  <c r="AE3" i="13"/>
  <c r="Y3" i="13"/>
  <c r="Z3" i="13" s="1"/>
  <c r="X3" i="13"/>
  <c r="AG40" i="12"/>
  <c r="AF40" i="12"/>
  <c r="AC40" i="12"/>
  <c r="AB40" i="12"/>
  <c r="AA40" i="12"/>
  <c r="U40" i="12"/>
  <c r="T40" i="12"/>
  <c r="V40" i="12" s="1"/>
  <c r="AG39" i="12"/>
  <c r="AF39" i="12"/>
  <c r="AC39" i="12"/>
  <c r="AB39" i="12"/>
  <c r="AD39" i="12" s="1"/>
  <c r="AA39" i="12"/>
  <c r="U39" i="12"/>
  <c r="V39" i="12" s="1"/>
  <c r="T39" i="12"/>
  <c r="AG38" i="12"/>
  <c r="AF38" i="12"/>
  <c r="AC38" i="12"/>
  <c r="AB38" i="12"/>
  <c r="AA38" i="12"/>
  <c r="Z38" i="12"/>
  <c r="AE38" i="12" s="1"/>
  <c r="U38" i="12"/>
  <c r="T38" i="12"/>
  <c r="AG37" i="12"/>
  <c r="AF37" i="12"/>
  <c r="AC37" i="12"/>
  <c r="AB37" i="12"/>
  <c r="AA37" i="12"/>
  <c r="U37" i="12"/>
  <c r="T37" i="12"/>
  <c r="V37" i="12" s="1"/>
  <c r="AG36" i="12"/>
  <c r="AF36" i="12"/>
  <c r="AH36" i="12" s="1"/>
  <c r="AD36" i="12"/>
  <c r="AC36" i="12"/>
  <c r="AB36" i="12"/>
  <c r="AA36" i="12"/>
  <c r="AE36" i="12" s="1"/>
  <c r="Z36" i="12"/>
  <c r="U36" i="12"/>
  <c r="V36" i="12" s="1"/>
  <c r="T36" i="12"/>
  <c r="AG35" i="12"/>
  <c r="AF35" i="12"/>
  <c r="AC35" i="12"/>
  <c r="Z35" i="12" s="1"/>
  <c r="AE35" i="12" s="1"/>
  <c r="AB35" i="12"/>
  <c r="AA35" i="12"/>
  <c r="U35" i="12"/>
  <c r="T35" i="12"/>
  <c r="AG34" i="12"/>
  <c r="AF34" i="12"/>
  <c r="AH34" i="12" s="1"/>
  <c r="AC34" i="12"/>
  <c r="AB34" i="12"/>
  <c r="AA34" i="12"/>
  <c r="AD34" i="12" s="1"/>
  <c r="U34" i="12"/>
  <c r="V34" i="12" s="1"/>
  <c r="T34" i="12"/>
  <c r="AG33" i="12"/>
  <c r="AF33" i="12"/>
  <c r="AH33" i="12" s="1"/>
  <c r="AD33" i="12"/>
  <c r="AC33" i="12"/>
  <c r="AB33" i="12"/>
  <c r="AA33" i="12"/>
  <c r="U33" i="12"/>
  <c r="T33" i="12"/>
  <c r="V33" i="12" s="1"/>
  <c r="AG32" i="12"/>
  <c r="AF32" i="12"/>
  <c r="AC32" i="12"/>
  <c r="AB32" i="12"/>
  <c r="AA32" i="12"/>
  <c r="AE32" i="12" s="1"/>
  <c r="Z32" i="12"/>
  <c r="V32" i="12"/>
  <c r="U32" i="12"/>
  <c r="T32" i="12"/>
  <c r="AG31" i="12"/>
  <c r="AF31" i="12"/>
  <c r="AH31" i="12" s="1"/>
  <c r="AC31" i="12"/>
  <c r="AB31" i="12"/>
  <c r="AD31" i="12" s="1"/>
  <c r="AA31" i="12"/>
  <c r="V31" i="12"/>
  <c r="U31" i="12"/>
  <c r="T31" i="12"/>
  <c r="AG30" i="12"/>
  <c r="AF30" i="12"/>
  <c r="AC30" i="12"/>
  <c r="AB30" i="12"/>
  <c r="Z30" i="12" s="1"/>
  <c r="AA30" i="12"/>
  <c r="AE30" i="12" s="1"/>
  <c r="U30" i="12"/>
  <c r="T30" i="12"/>
  <c r="U29" i="12"/>
  <c r="T29" i="12"/>
  <c r="V29" i="12" s="1"/>
  <c r="U28" i="12"/>
  <c r="T28" i="12"/>
  <c r="V28" i="12" s="1"/>
  <c r="AG27" i="12"/>
  <c r="AF27" i="12"/>
  <c r="AH27" i="12" s="1"/>
  <c r="AC27" i="12"/>
  <c r="AC28" i="12" s="1"/>
  <c r="AB27" i="12"/>
  <c r="AA27" i="12"/>
  <c r="U27" i="12"/>
  <c r="T27" i="12"/>
  <c r="V27" i="12" s="1"/>
  <c r="AG26" i="12"/>
  <c r="AG28" i="12" s="1"/>
  <c r="AF26" i="12"/>
  <c r="AC26" i="12"/>
  <c r="AB26" i="12"/>
  <c r="AA26" i="12"/>
  <c r="AD26" i="12" s="1"/>
  <c r="Z26" i="12"/>
  <c r="U26" i="12"/>
  <c r="T26" i="12"/>
  <c r="V26" i="12" s="1"/>
  <c r="U25" i="12"/>
  <c r="T25" i="12"/>
  <c r="V25" i="12" s="1"/>
  <c r="U24" i="12"/>
  <c r="V24" i="12" s="1"/>
  <c r="T24" i="12"/>
  <c r="AN23" i="12"/>
  <c r="AM23" i="12"/>
  <c r="AL23" i="12"/>
  <c r="AO23" i="12" s="1"/>
  <c r="U23" i="12"/>
  <c r="T23" i="12"/>
  <c r="AN22" i="12"/>
  <c r="AM22" i="12"/>
  <c r="AL22" i="12"/>
  <c r="AK22" i="12"/>
  <c r="U22" i="12"/>
  <c r="T22" i="12"/>
  <c r="V22" i="12" s="1"/>
  <c r="AN21" i="12"/>
  <c r="AM21" i="12"/>
  <c r="AK21" i="12" s="1"/>
  <c r="AL21" i="12"/>
  <c r="U21" i="12"/>
  <c r="V21" i="12" s="1"/>
  <c r="T21" i="12"/>
  <c r="AN20" i="12"/>
  <c r="AM20" i="12"/>
  <c r="AL20" i="12"/>
  <c r="V20" i="12"/>
  <c r="U20" i="12"/>
  <c r="T20" i="12"/>
  <c r="AN19" i="12"/>
  <c r="AM19" i="12"/>
  <c r="AL19" i="12"/>
  <c r="U19" i="12"/>
  <c r="T19" i="12"/>
  <c r="V19" i="12" s="1"/>
  <c r="AN18" i="12"/>
  <c r="AM18" i="12"/>
  <c r="AL18" i="12"/>
  <c r="AO18" i="12" s="1"/>
  <c r="U18" i="12"/>
  <c r="T18" i="12"/>
  <c r="V18" i="12" s="1"/>
  <c r="AN17" i="12"/>
  <c r="AM17" i="12"/>
  <c r="AL17" i="12"/>
  <c r="U17" i="12"/>
  <c r="T17" i="12"/>
  <c r="AN16" i="12"/>
  <c r="AM16" i="12"/>
  <c r="AL16" i="12"/>
  <c r="U16" i="12"/>
  <c r="T16" i="12"/>
  <c r="V16" i="12" s="1"/>
  <c r="AN15" i="12"/>
  <c r="AM15" i="12"/>
  <c r="AK15" i="12" s="1"/>
  <c r="AP15" i="12" s="1"/>
  <c r="AL15" i="12"/>
  <c r="AO15" i="12" s="1"/>
  <c r="AQ15" i="12" s="1"/>
  <c r="AC15" i="12"/>
  <c r="AB15" i="12"/>
  <c r="AA15" i="12"/>
  <c r="U15" i="12"/>
  <c r="T15" i="12"/>
  <c r="V15" i="12" s="1"/>
  <c r="AD14" i="12"/>
  <c r="AC14" i="12"/>
  <c r="AB14" i="12"/>
  <c r="AA14" i="12"/>
  <c r="U14" i="12"/>
  <c r="T14" i="12"/>
  <c r="AN13" i="12"/>
  <c r="AM13" i="12"/>
  <c r="AL13" i="12"/>
  <c r="AC13" i="12"/>
  <c r="AB13" i="12"/>
  <c r="AA13" i="12"/>
  <c r="U13" i="12"/>
  <c r="T13" i="12"/>
  <c r="AN12" i="12"/>
  <c r="AM12" i="12"/>
  <c r="AL12" i="12"/>
  <c r="U12" i="12"/>
  <c r="T12" i="12"/>
  <c r="AN11" i="12"/>
  <c r="AM11" i="12"/>
  <c r="AK11" i="12" s="1"/>
  <c r="AP11" i="12" s="1"/>
  <c r="AL11" i="12"/>
  <c r="AO11" i="12" s="1"/>
  <c r="AQ11" i="12" s="1"/>
  <c r="U11" i="12"/>
  <c r="V11" i="12" s="1"/>
  <c r="T11" i="12"/>
  <c r="AN10" i="12"/>
  <c r="AM10" i="12"/>
  <c r="AL10" i="12"/>
  <c r="AO10" i="12" s="1"/>
  <c r="AD10" i="12"/>
  <c r="AC10" i="12"/>
  <c r="AB10" i="12"/>
  <c r="AA10" i="12"/>
  <c r="U10" i="12"/>
  <c r="T10" i="12"/>
  <c r="V10" i="12" s="1"/>
  <c r="AN9" i="12"/>
  <c r="AM9" i="12"/>
  <c r="AO9" i="12" s="1"/>
  <c r="AL9" i="12"/>
  <c r="AC9" i="12"/>
  <c r="AB9" i="12"/>
  <c r="AD9" i="12" s="1"/>
  <c r="AA9" i="12"/>
  <c r="U9" i="12"/>
  <c r="T9" i="12"/>
  <c r="AN8" i="12"/>
  <c r="AM8" i="12"/>
  <c r="AL8" i="12"/>
  <c r="AC8" i="12"/>
  <c r="AB8" i="12"/>
  <c r="AA8" i="12"/>
  <c r="U8" i="12"/>
  <c r="T8" i="12"/>
  <c r="V8" i="12" s="1"/>
  <c r="AN7" i="12"/>
  <c r="AM7" i="12"/>
  <c r="AL7" i="12"/>
  <c r="U7" i="12"/>
  <c r="T7" i="12"/>
  <c r="AO6" i="12"/>
  <c r="AN6" i="12"/>
  <c r="AM6" i="12"/>
  <c r="AL6" i="12"/>
  <c r="U6" i="12"/>
  <c r="T6" i="12"/>
  <c r="V6" i="12" s="1"/>
  <c r="AN5" i="12"/>
  <c r="AM5" i="12"/>
  <c r="AL5" i="12"/>
  <c r="AO5" i="12" s="1"/>
  <c r="AC5" i="12"/>
  <c r="AB5" i="12"/>
  <c r="AA5" i="12"/>
  <c r="U5" i="12"/>
  <c r="T5" i="12"/>
  <c r="AN4" i="12"/>
  <c r="AM4" i="12"/>
  <c r="AL4" i="12"/>
  <c r="AC4" i="12"/>
  <c r="AB4" i="12"/>
  <c r="AA4" i="12"/>
  <c r="U4" i="12"/>
  <c r="T4" i="12"/>
  <c r="V4" i="12" s="1"/>
  <c r="AN3" i="12"/>
  <c r="AM3" i="12"/>
  <c r="AL3" i="12"/>
  <c r="AO3" i="12" s="1"/>
  <c r="AC3" i="12"/>
  <c r="AB3" i="12"/>
  <c r="AA3" i="12"/>
  <c r="Z3" i="12" s="1"/>
  <c r="U3" i="12"/>
  <c r="T3" i="12"/>
  <c r="V3" i="12" s="1"/>
  <c r="M56" i="11"/>
  <c r="N55" i="11"/>
  <c r="O55" i="11" s="1"/>
  <c r="N54" i="11"/>
  <c r="R53" i="11"/>
  <c r="Q53" i="11"/>
  <c r="N53" i="11"/>
  <c r="O53" i="11" s="1"/>
  <c r="AL47" i="11"/>
  <c r="AK47" i="11"/>
  <c r="AI47" i="11"/>
  <c r="AH47" i="11"/>
  <c r="AE47" i="11" s="1"/>
  <c r="AJ47" i="11" s="1"/>
  <c r="AG47" i="11"/>
  <c r="AF47" i="11"/>
  <c r="AL46" i="11"/>
  <c r="AK46" i="11"/>
  <c r="AM46" i="11" s="1"/>
  <c r="AH46" i="11"/>
  <c r="AG46" i="11"/>
  <c r="AF46" i="11"/>
  <c r="AL45" i="11"/>
  <c r="AK45" i="11"/>
  <c r="AM45" i="11" s="1"/>
  <c r="AH45" i="11"/>
  <c r="AG45" i="11"/>
  <c r="AF45" i="11"/>
  <c r="AE45" i="11" s="1"/>
  <c r="AJ45" i="11" s="1"/>
  <c r="AL44" i="11"/>
  <c r="AK44" i="11"/>
  <c r="AM44" i="11" s="1"/>
  <c r="AH44" i="11"/>
  <c r="AG44" i="11"/>
  <c r="AF44" i="11"/>
  <c r="AL43" i="11"/>
  <c r="AK43" i="11"/>
  <c r="AM43" i="11" s="1"/>
  <c r="AH43" i="11"/>
  <c r="AG43" i="11"/>
  <c r="AI43" i="11" s="1"/>
  <c r="AF43" i="11"/>
  <c r="AL42" i="11"/>
  <c r="AK42" i="11"/>
  <c r="AM42" i="11" s="1"/>
  <c r="AH42" i="11"/>
  <c r="AG42" i="11"/>
  <c r="AF42" i="11"/>
  <c r="AL41" i="11"/>
  <c r="AK41" i="11"/>
  <c r="AM41" i="11" s="1"/>
  <c r="AH41" i="11"/>
  <c r="AG41" i="11"/>
  <c r="AF41" i="11"/>
  <c r="AL40" i="11"/>
  <c r="AK40" i="11"/>
  <c r="AH40" i="11"/>
  <c r="AG40" i="11"/>
  <c r="AF40" i="11"/>
  <c r="Z40" i="11"/>
  <c r="AA40" i="11" s="1"/>
  <c r="Y40" i="11"/>
  <c r="AL39" i="11"/>
  <c r="AK39" i="11"/>
  <c r="AM39" i="11" s="1"/>
  <c r="AI39" i="11"/>
  <c r="AH39" i="11"/>
  <c r="AE39" i="11" s="1"/>
  <c r="AJ39" i="11" s="1"/>
  <c r="AG39" i="11"/>
  <c r="AF39" i="11"/>
  <c r="Z39" i="11"/>
  <c r="Y39" i="11"/>
  <c r="AA39" i="11" s="1"/>
  <c r="AL38" i="11"/>
  <c r="AK38" i="11"/>
  <c r="AH38" i="11"/>
  <c r="AG38" i="11"/>
  <c r="AF38" i="11"/>
  <c r="AE38" i="11" s="1"/>
  <c r="Z38" i="11"/>
  <c r="AA38" i="11" s="1"/>
  <c r="Y38" i="11"/>
  <c r="AL37" i="11"/>
  <c r="AK37" i="11"/>
  <c r="AM37" i="11" s="1"/>
  <c r="AH37" i="11"/>
  <c r="AG37" i="11"/>
  <c r="AF37" i="11"/>
  <c r="Z37" i="11"/>
  <c r="Y37" i="11"/>
  <c r="AA37" i="11" s="1"/>
  <c r="AL36" i="11"/>
  <c r="AK36" i="11"/>
  <c r="AM36" i="11" s="1"/>
  <c r="AJ36" i="11"/>
  <c r="AI36" i="11"/>
  <c r="AH36" i="11"/>
  <c r="AG36" i="11"/>
  <c r="AF36" i="11"/>
  <c r="AE36" i="11"/>
  <c r="Z36" i="11"/>
  <c r="Y36" i="11"/>
  <c r="AL35" i="11"/>
  <c r="AK35" i="11"/>
  <c r="AH35" i="11"/>
  <c r="AG35" i="11"/>
  <c r="AF35" i="11"/>
  <c r="AE35" i="11" s="1"/>
  <c r="Z35" i="11"/>
  <c r="Y35" i="11"/>
  <c r="AL34" i="11"/>
  <c r="AK34" i="11"/>
  <c r="AM34" i="11" s="1"/>
  <c r="AI34" i="11"/>
  <c r="AH34" i="11"/>
  <c r="AG34" i="11"/>
  <c r="AF34" i="11"/>
  <c r="Z34" i="11"/>
  <c r="Y34" i="11"/>
  <c r="AA34" i="11" s="1"/>
  <c r="AL33" i="11"/>
  <c r="AK33" i="11"/>
  <c r="AH33" i="11"/>
  <c r="AG33" i="11"/>
  <c r="AE33" i="11" s="1"/>
  <c r="AJ33" i="11" s="1"/>
  <c r="AF33" i="11"/>
  <c r="AI33" i="11" s="1"/>
  <c r="Z33" i="11"/>
  <c r="Y33" i="11"/>
  <c r="AL32" i="11"/>
  <c r="AK32" i="11"/>
  <c r="AM32" i="11" s="1"/>
  <c r="AH32" i="11"/>
  <c r="AG32" i="11"/>
  <c r="AF32" i="11"/>
  <c r="AE32" i="11" s="1"/>
  <c r="Z32" i="11"/>
  <c r="Y32" i="11"/>
  <c r="AA32" i="11" s="1"/>
  <c r="AL31" i="11"/>
  <c r="AK31" i="11"/>
  <c r="AH31" i="11"/>
  <c r="AG31" i="11"/>
  <c r="AF31" i="11"/>
  <c r="Z31" i="11"/>
  <c r="Y31" i="11"/>
  <c r="AL30" i="11"/>
  <c r="AK30" i="11"/>
  <c r="AM30" i="11" s="1"/>
  <c r="AI30" i="11"/>
  <c r="AH30" i="11"/>
  <c r="AG30" i="11"/>
  <c r="AF30" i="11"/>
  <c r="Z30" i="11"/>
  <c r="Y30" i="11"/>
  <c r="AW29" i="11"/>
  <c r="AV29" i="11"/>
  <c r="AU29" i="11"/>
  <c r="AT29" i="11"/>
  <c r="Z29" i="11"/>
  <c r="Y29" i="11"/>
  <c r="AV28" i="11"/>
  <c r="AU28" i="11"/>
  <c r="AT28" i="11"/>
  <c r="AI28" i="11"/>
  <c r="AA28" i="11"/>
  <c r="Z28" i="11"/>
  <c r="Y28" i="11"/>
  <c r="AV27" i="11"/>
  <c r="AU27" i="11"/>
  <c r="AT27" i="11"/>
  <c r="AL27" i="11"/>
  <c r="AK27" i="11"/>
  <c r="AH27" i="11"/>
  <c r="AG27" i="11"/>
  <c r="AF27" i="11"/>
  <c r="Z27" i="11"/>
  <c r="Y27" i="11"/>
  <c r="AA27" i="11" s="1"/>
  <c r="AV26" i="11"/>
  <c r="AU26" i="11"/>
  <c r="AT26" i="11"/>
  <c r="AM26" i="11"/>
  <c r="AL26" i="11"/>
  <c r="AK26" i="11"/>
  <c r="AH26" i="11"/>
  <c r="AH28" i="11" s="1"/>
  <c r="AG26" i="11"/>
  <c r="AG28" i="11" s="1"/>
  <c r="AF26" i="11"/>
  <c r="AE26" i="11" s="1"/>
  <c r="Z26" i="11"/>
  <c r="Y26" i="11"/>
  <c r="AV25" i="11"/>
  <c r="AU25" i="11"/>
  <c r="AT25" i="11"/>
  <c r="AS25" i="11" s="1"/>
  <c r="AA25" i="11"/>
  <c r="Z25" i="11"/>
  <c r="Y25" i="11"/>
  <c r="AV24" i="11"/>
  <c r="AU24" i="11"/>
  <c r="AS24" i="11" s="1"/>
  <c r="AT24" i="11"/>
  <c r="AW24" i="11" s="1"/>
  <c r="AA24" i="11"/>
  <c r="Z24" i="11"/>
  <c r="Y24" i="11"/>
  <c r="AV23" i="11"/>
  <c r="AU23" i="11"/>
  <c r="AT23" i="11"/>
  <c r="AA23" i="11"/>
  <c r="Z23" i="11"/>
  <c r="Y23" i="11"/>
  <c r="AV22" i="11"/>
  <c r="AU22" i="11"/>
  <c r="AT22" i="11"/>
  <c r="AW22" i="11" s="1"/>
  <c r="Z22" i="11"/>
  <c r="Y22" i="11"/>
  <c r="AA22" i="11" s="1"/>
  <c r="AV21" i="11"/>
  <c r="AU21" i="11"/>
  <c r="AT21" i="11"/>
  <c r="AS21" i="11" s="1"/>
  <c r="AX21" i="11" s="1"/>
  <c r="Z21" i="11"/>
  <c r="Y21" i="11"/>
  <c r="AV20" i="11"/>
  <c r="AU20" i="11"/>
  <c r="AT20" i="11"/>
  <c r="AW20" i="11" s="1"/>
  <c r="AH20" i="11"/>
  <c r="AG20" i="11"/>
  <c r="AF20" i="11"/>
  <c r="Z20" i="11"/>
  <c r="Y20" i="11"/>
  <c r="AA20" i="11" s="1"/>
  <c r="AV19" i="11"/>
  <c r="AU19" i="11"/>
  <c r="AT19" i="11"/>
  <c r="AS19" i="11" s="1"/>
  <c r="AH19" i="11"/>
  <c r="AG19" i="11"/>
  <c r="AF19" i="11"/>
  <c r="Z19" i="11"/>
  <c r="AA19" i="11" s="1"/>
  <c r="Y19" i="11"/>
  <c r="AH18" i="11"/>
  <c r="AG18" i="11"/>
  <c r="AI18" i="11" s="1"/>
  <c r="AF18" i="11"/>
  <c r="Z18" i="11"/>
  <c r="AA18" i="11" s="1"/>
  <c r="Y18" i="11"/>
  <c r="AV17" i="11"/>
  <c r="AU17" i="11"/>
  <c r="AS17" i="11" s="1"/>
  <c r="AT17" i="11"/>
  <c r="AH17" i="11"/>
  <c r="AG17" i="11"/>
  <c r="AF17" i="11"/>
  <c r="Z17" i="11"/>
  <c r="Y17" i="11"/>
  <c r="AV16" i="11"/>
  <c r="AU16" i="11"/>
  <c r="AT16" i="11"/>
  <c r="AH16" i="11"/>
  <c r="AG16" i="11"/>
  <c r="AF16" i="11"/>
  <c r="AE16" i="11" s="1"/>
  <c r="Z16" i="11"/>
  <c r="Y16" i="11"/>
  <c r="AV15" i="11"/>
  <c r="AS15" i="11" s="1"/>
  <c r="AU15" i="11"/>
  <c r="AT15" i="11"/>
  <c r="Z15" i="11"/>
  <c r="AA15" i="11" s="1"/>
  <c r="Y15" i="11"/>
  <c r="AV14" i="11"/>
  <c r="AU14" i="11"/>
  <c r="AW14" i="11" s="1"/>
  <c r="AT14" i="11"/>
  <c r="Z14" i="11"/>
  <c r="AA14" i="11" s="1"/>
  <c r="Y14" i="11"/>
  <c r="AV13" i="11"/>
  <c r="AS13" i="11" s="1"/>
  <c r="AU13" i="11"/>
  <c r="AT13" i="11"/>
  <c r="AH13" i="11"/>
  <c r="AG13" i="11"/>
  <c r="AF13" i="11"/>
  <c r="AA13" i="11"/>
  <c r="Z13" i="11"/>
  <c r="Y13" i="11"/>
  <c r="AV12" i="11"/>
  <c r="AU12" i="11"/>
  <c r="AT12" i="11"/>
  <c r="AH12" i="11"/>
  <c r="AG12" i="11"/>
  <c r="AF12" i="11"/>
  <c r="Z12" i="11"/>
  <c r="Y12" i="11"/>
  <c r="AA12" i="11" s="1"/>
  <c r="AV11" i="11"/>
  <c r="AU11" i="11"/>
  <c r="AT11" i="11"/>
  <c r="AS11" i="11" s="1"/>
  <c r="AH11" i="11"/>
  <c r="AG11" i="11"/>
  <c r="AF11" i="11"/>
  <c r="AI11" i="11" s="1"/>
  <c r="Z11" i="11"/>
  <c r="Y11" i="11"/>
  <c r="AV10" i="11"/>
  <c r="AU10" i="11"/>
  <c r="AT10" i="11"/>
  <c r="AH10" i="11"/>
  <c r="AG10" i="11"/>
  <c r="AF10" i="11"/>
  <c r="AI10" i="11" s="1"/>
  <c r="AA10" i="11"/>
  <c r="Z10" i="11"/>
  <c r="Y10" i="11"/>
  <c r="AV9" i="11"/>
  <c r="AU9" i="11"/>
  <c r="AT9" i="11"/>
  <c r="AS9" i="11" s="1"/>
  <c r="AX9" i="11" s="1"/>
  <c r="AH9" i="11"/>
  <c r="AG9" i="11"/>
  <c r="AF9" i="11"/>
  <c r="AI9" i="11" s="1"/>
  <c r="Z9" i="11"/>
  <c r="Y9" i="11"/>
  <c r="AV8" i="11"/>
  <c r="AU8" i="11"/>
  <c r="AT8" i="11"/>
  <c r="AW8" i="11" s="1"/>
  <c r="AS8" i="11"/>
  <c r="AX8" i="11" s="1"/>
  <c r="Z8" i="11"/>
  <c r="Y8" i="11"/>
  <c r="AV7" i="11"/>
  <c r="AU7" i="11"/>
  <c r="AT7" i="11"/>
  <c r="AS7" i="11" s="1"/>
  <c r="AH7" i="11"/>
  <c r="AG7" i="11"/>
  <c r="AI7" i="11" s="1"/>
  <c r="AF7" i="11"/>
  <c r="Z7" i="11"/>
  <c r="Y7" i="11"/>
  <c r="AA7" i="11" s="1"/>
  <c r="AW6" i="11"/>
  <c r="AV6" i="11"/>
  <c r="AU6" i="11"/>
  <c r="AT6" i="11"/>
  <c r="AS6" i="11" s="1"/>
  <c r="AX6" i="11" s="1"/>
  <c r="AH6" i="11"/>
  <c r="AG6" i="11"/>
  <c r="AF6" i="11"/>
  <c r="Z6" i="11"/>
  <c r="Y6" i="11"/>
  <c r="AV5" i="11"/>
  <c r="AU5" i="11"/>
  <c r="AT5" i="11"/>
  <c r="AW5" i="11" s="1"/>
  <c r="AH5" i="11"/>
  <c r="AG5" i="11"/>
  <c r="AF5" i="11"/>
  <c r="Z5" i="11"/>
  <c r="Y5" i="11"/>
  <c r="AA5" i="11" s="1"/>
  <c r="AV4" i="11"/>
  <c r="AU4" i="11"/>
  <c r="AT4" i="11"/>
  <c r="AH4" i="11"/>
  <c r="AG4" i="11"/>
  <c r="AF4" i="11"/>
  <c r="AI4" i="11" s="1"/>
  <c r="Z4" i="11"/>
  <c r="Y4" i="11"/>
  <c r="AA4" i="11" s="1"/>
  <c r="AV3" i="11"/>
  <c r="AU3" i="11"/>
  <c r="AT3" i="11"/>
  <c r="AH3" i="11"/>
  <c r="AG3" i="11"/>
  <c r="AF3" i="11"/>
  <c r="Z3" i="11"/>
  <c r="AA3" i="11" s="1"/>
  <c r="Y3" i="11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7" i="10"/>
  <c r="H7" i="10"/>
  <c r="P5" i="10"/>
  <c r="J5" i="10"/>
  <c r="I5" i="10"/>
  <c r="F5" i="10"/>
  <c r="E5" i="10"/>
  <c r="D5" i="10"/>
  <c r="V4" i="10"/>
  <c r="U4" i="10"/>
  <c r="T4" i="10"/>
  <c r="Q4" i="10"/>
  <c r="P4" i="10"/>
  <c r="O4" i="10"/>
  <c r="K4" i="10"/>
  <c r="K5" i="10" s="1"/>
  <c r="G4" i="10"/>
  <c r="C4" i="10"/>
  <c r="H4" i="10" s="1"/>
  <c r="U3" i="10"/>
  <c r="T3" i="10"/>
  <c r="T5" i="10" s="1"/>
  <c r="R3" i="10"/>
  <c r="Q3" i="10"/>
  <c r="P3" i="10"/>
  <c r="O3" i="10"/>
  <c r="K3" i="10"/>
  <c r="G3" i="10"/>
  <c r="G5" i="10" s="1"/>
  <c r="C3" i="10"/>
  <c r="H3" i="10" s="1"/>
  <c r="D23" i="9"/>
  <c r="B23" i="9"/>
  <c r="R50" i="7"/>
  <c r="O50" i="7"/>
  <c r="S50" i="7" s="1"/>
  <c r="N50" i="7"/>
  <c r="M50" i="7"/>
  <c r="R49" i="7"/>
  <c r="N49" i="7"/>
  <c r="N51" i="7" s="1"/>
  <c r="M49" i="7"/>
  <c r="M51" i="7" s="1"/>
  <c r="AF43" i="7"/>
  <c r="AE43" i="7"/>
  <c r="AG43" i="7" s="1"/>
  <c r="AC43" i="7"/>
  <c r="AB43" i="7"/>
  <c r="AA43" i="7"/>
  <c r="Z43" i="7"/>
  <c r="Y43" i="7" s="1"/>
  <c r="AF42" i="7"/>
  <c r="AE42" i="7"/>
  <c r="AG42" i="7" s="1"/>
  <c r="AC42" i="7"/>
  <c r="AB42" i="7"/>
  <c r="AA42" i="7"/>
  <c r="Z42" i="7"/>
  <c r="Y42" i="7" s="1"/>
  <c r="AG41" i="7"/>
  <c r="AF41" i="7"/>
  <c r="AE41" i="7"/>
  <c r="AC41" i="7"/>
  <c r="AB41" i="7"/>
  <c r="AA41" i="7"/>
  <c r="Z41" i="7"/>
  <c r="Y41" i="7"/>
  <c r="AF40" i="7"/>
  <c r="AE40" i="7"/>
  <c r="AC40" i="7"/>
  <c r="AD40" i="7" s="1"/>
  <c r="AB40" i="7"/>
  <c r="AA40" i="7"/>
  <c r="Z40" i="7"/>
  <c r="Y40" i="7"/>
  <c r="AG39" i="7"/>
  <c r="AF39" i="7"/>
  <c r="AE39" i="7"/>
  <c r="AC39" i="7"/>
  <c r="AD39" i="7" s="1"/>
  <c r="AB39" i="7"/>
  <c r="AA39" i="7"/>
  <c r="Y39" i="7" s="1"/>
  <c r="Z39" i="7"/>
  <c r="AF38" i="7"/>
  <c r="AE38" i="7"/>
  <c r="AG38" i="7" s="1"/>
  <c r="AC38" i="7"/>
  <c r="AD38" i="7" s="1"/>
  <c r="AB38" i="7"/>
  <c r="AA38" i="7"/>
  <c r="Z38" i="7"/>
  <c r="Y38" i="7"/>
  <c r="AF37" i="7"/>
  <c r="AE37" i="7"/>
  <c r="AG37" i="7" s="1"/>
  <c r="AC37" i="7"/>
  <c r="AD37" i="7" s="1"/>
  <c r="AB37" i="7"/>
  <c r="AA37" i="7"/>
  <c r="Y37" i="7" s="1"/>
  <c r="Z37" i="7"/>
  <c r="AF36" i="7"/>
  <c r="AE36" i="7"/>
  <c r="AG36" i="7" s="1"/>
  <c r="AC36" i="7"/>
  <c r="AD36" i="7" s="1"/>
  <c r="AB36" i="7"/>
  <c r="AA36" i="7"/>
  <c r="Z36" i="7"/>
  <c r="Y36" i="7" s="1"/>
  <c r="AF35" i="7"/>
  <c r="AE35" i="7"/>
  <c r="AG35" i="7" s="1"/>
  <c r="AC35" i="7"/>
  <c r="AB35" i="7"/>
  <c r="AA35" i="7"/>
  <c r="Z35" i="7"/>
  <c r="Y35" i="7" s="1"/>
  <c r="AS34" i="7"/>
  <c r="AR34" i="7"/>
  <c r="AQ34" i="7"/>
  <c r="AN34" i="7"/>
  <c r="AM34" i="7"/>
  <c r="AL34" i="7"/>
  <c r="AK34" i="7"/>
  <c r="AG34" i="7"/>
  <c r="AF34" i="7"/>
  <c r="AE34" i="7"/>
  <c r="AC34" i="7"/>
  <c r="AB34" i="7"/>
  <c r="AA34" i="7"/>
  <c r="Z34" i="7"/>
  <c r="Y34" i="7"/>
  <c r="AR33" i="7"/>
  <c r="AQ33" i="7"/>
  <c r="AO33" i="7"/>
  <c r="AN33" i="7"/>
  <c r="AM33" i="7"/>
  <c r="AK33" i="7" s="1"/>
  <c r="AL33" i="7"/>
  <c r="AF33" i="7"/>
  <c r="AE33" i="7"/>
  <c r="AG33" i="7" s="1"/>
  <c r="AC33" i="7"/>
  <c r="AD33" i="7" s="1"/>
  <c r="AB33" i="7"/>
  <c r="AA33" i="7"/>
  <c r="Z33" i="7"/>
  <c r="Y33" i="7"/>
  <c r="AR32" i="7"/>
  <c r="AQ32" i="7"/>
  <c r="AS32" i="7" s="1"/>
  <c r="AN32" i="7"/>
  <c r="AM32" i="7"/>
  <c r="AL32" i="7"/>
  <c r="AK32" i="7" s="1"/>
  <c r="AG32" i="7"/>
  <c r="AF32" i="7"/>
  <c r="AE32" i="7"/>
  <c r="AC32" i="7"/>
  <c r="AD32" i="7" s="1"/>
  <c r="AB32" i="7"/>
  <c r="AA32" i="7"/>
  <c r="Z32" i="7"/>
  <c r="Y32" i="7" s="1"/>
  <c r="AR31" i="7"/>
  <c r="AQ31" i="7"/>
  <c r="AN31" i="7"/>
  <c r="AM31" i="7"/>
  <c r="AL31" i="7"/>
  <c r="AK31" i="7" s="1"/>
  <c r="AF31" i="7"/>
  <c r="AE31" i="7"/>
  <c r="AG31" i="7" s="1"/>
  <c r="AC31" i="7"/>
  <c r="AD31" i="7" s="1"/>
  <c r="AB31" i="7"/>
  <c r="AA31" i="7"/>
  <c r="Z31" i="7"/>
  <c r="Y31" i="7"/>
  <c r="AR30" i="7"/>
  <c r="AQ30" i="7"/>
  <c r="AS30" i="7" s="1"/>
  <c r="AO30" i="7"/>
  <c r="AN30" i="7"/>
  <c r="AM30" i="7"/>
  <c r="AL30" i="7"/>
  <c r="AK30" i="7" s="1"/>
  <c r="AF30" i="7"/>
  <c r="AE30" i="7"/>
  <c r="AG30" i="7" s="1"/>
  <c r="AC30" i="7"/>
  <c r="AD30" i="7" s="1"/>
  <c r="AB30" i="7"/>
  <c r="AA30" i="7"/>
  <c r="Z30" i="7"/>
  <c r="Y30" i="7" s="1"/>
  <c r="AR29" i="7"/>
  <c r="AQ29" i="7"/>
  <c r="AS29" i="7" s="1"/>
  <c r="AN29" i="7"/>
  <c r="AM29" i="7"/>
  <c r="AL29" i="7"/>
  <c r="AG29" i="7"/>
  <c r="AF29" i="7"/>
  <c r="AE29" i="7"/>
  <c r="AC29" i="7"/>
  <c r="AB29" i="7"/>
  <c r="AA29" i="7"/>
  <c r="Z29" i="7"/>
  <c r="Y29" i="7" s="1"/>
  <c r="AR28" i="7"/>
  <c r="AQ28" i="7"/>
  <c r="AS28" i="7" s="1"/>
  <c r="AN28" i="7"/>
  <c r="AM28" i="7"/>
  <c r="AL28" i="7"/>
  <c r="AF28" i="7"/>
  <c r="AE28" i="7"/>
  <c r="AG28" i="7" s="1"/>
  <c r="AC28" i="7"/>
  <c r="AD28" i="7" s="1"/>
  <c r="AB28" i="7"/>
  <c r="AA28" i="7"/>
  <c r="Z28" i="7"/>
  <c r="Y28" i="7"/>
  <c r="AR27" i="7"/>
  <c r="AQ27" i="7"/>
  <c r="AS27" i="7" s="1"/>
  <c r="AN27" i="7"/>
  <c r="AM27" i="7"/>
  <c r="AL27" i="7"/>
  <c r="AG27" i="7"/>
  <c r="AF27" i="7"/>
  <c r="AE27" i="7"/>
  <c r="AC27" i="7"/>
  <c r="AB27" i="7"/>
  <c r="AA27" i="7"/>
  <c r="Z27" i="7"/>
  <c r="Y27" i="7"/>
  <c r="AR26" i="7"/>
  <c r="AQ26" i="7"/>
  <c r="AN26" i="7"/>
  <c r="AM26" i="7"/>
  <c r="AL26" i="7"/>
  <c r="AK26" i="7" s="1"/>
  <c r="AF26" i="7"/>
  <c r="AE26" i="7"/>
  <c r="AG26" i="7" s="1"/>
  <c r="AC26" i="7"/>
  <c r="AD26" i="7" s="1"/>
  <c r="AB26" i="7"/>
  <c r="AA26" i="7"/>
  <c r="Z26" i="7"/>
  <c r="Y26" i="7" s="1"/>
  <c r="AR25" i="7"/>
  <c r="AQ25" i="7"/>
  <c r="AS25" i="7" s="1"/>
  <c r="AN25" i="7"/>
  <c r="AM25" i="7"/>
  <c r="AL25" i="7"/>
  <c r="AG25" i="7"/>
  <c r="AF25" i="7"/>
  <c r="AE25" i="7"/>
  <c r="AC25" i="7"/>
  <c r="AB25" i="7"/>
  <c r="AA25" i="7"/>
  <c r="Z25" i="7"/>
  <c r="Y25" i="7" s="1"/>
  <c r="AR24" i="7"/>
  <c r="AQ24" i="7"/>
  <c r="AS24" i="7" s="1"/>
  <c r="AN24" i="7"/>
  <c r="AM24" i="7"/>
  <c r="AL24" i="7"/>
  <c r="AF24" i="7"/>
  <c r="AG24" i="7" s="1"/>
  <c r="AE24" i="7"/>
  <c r="AC24" i="7"/>
  <c r="AB24" i="7"/>
  <c r="AA24" i="7"/>
  <c r="Z24" i="7"/>
  <c r="Y24" i="7" s="1"/>
  <c r="AF23" i="7"/>
  <c r="AE23" i="7"/>
  <c r="AG23" i="7" s="1"/>
  <c r="AC23" i="7"/>
  <c r="AB23" i="7"/>
  <c r="AD23" i="7" s="1"/>
  <c r="AA23" i="7"/>
  <c r="Z23" i="7"/>
  <c r="AR22" i="7"/>
  <c r="AG22" i="7"/>
  <c r="AF22" i="7"/>
  <c r="AE22" i="7"/>
  <c r="AC22" i="7"/>
  <c r="AB22" i="7"/>
  <c r="AD22" i="7" s="1"/>
  <c r="AA22" i="7"/>
  <c r="Z22" i="7"/>
  <c r="AR21" i="7"/>
  <c r="AQ21" i="7"/>
  <c r="AS21" i="7" s="1"/>
  <c r="AN21" i="7"/>
  <c r="AM21" i="7"/>
  <c r="AL21" i="7"/>
  <c r="AL22" i="7" s="1"/>
  <c r="AF21" i="7"/>
  <c r="AE21" i="7"/>
  <c r="AC21" i="7"/>
  <c r="AD21" i="7" s="1"/>
  <c r="AB21" i="7"/>
  <c r="AA21" i="7"/>
  <c r="Z21" i="7"/>
  <c r="AR20" i="7"/>
  <c r="AQ20" i="7"/>
  <c r="AN20" i="7"/>
  <c r="AM20" i="7"/>
  <c r="AM22" i="7" s="1"/>
  <c r="AL20" i="7"/>
  <c r="AF20" i="7"/>
  <c r="AE20" i="7"/>
  <c r="AG20" i="7" s="1"/>
  <c r="AC20" i="7"/>
  <c r="AB20" i="7"/>
  <c r="AD20" i="7" s="1"/>
  <c r="AA20" i="7"/>
  <c r="Z20" i="7"/>
  <c r="AF19" i="7"/>
  <c r="AE19" i="7"/>
  <c r="AG19" i="7" s="1"/>
  <c r="AD19" i="7"/>
  <c r="AC19" i="7"/>
  <c r="AB19" i="7"/>
  <c r="AA19" i="7"/>
  <c r="Z19" i="7"/>
  <c r="Y19" i="7"/>
  <c r="BB18" i="7"/>
  <c r="BA18" i="7"/>
  <c r="BC18" i="7" s="1"/>
  <c r="AZ18" i="7"/>
  <c r="AF18" i="7"/>
  <c r="AE18" i="7"/>
  <c r="AG18" i="7" s="1"/>
  <c r="AC18" i="7"/>
  <c r="AB18" i="7"/>
  <c r="AD18" i="7" s="1"/>
  <c r="AA18" i="7"/>
  <c r="Z18" i="7"/>
  <c r="BC17" i="7"/>
  <c r="BB17" i="7"/>
  <c r="BA17" i="7"/>
  <c r="AZ17" i="7"/>
  <c r="AF17" i="7"/>
  <c r="AE17" i="7"/>
  <c r="AC17" i="7"/>
  <c r="AD17" i="7" s="1"/>
  <c r="AB17" i="7"/>
  <c r="AA17" i="7"/>
  <c r="Z17" i="7"/>
  <c r="Y17" i="7"/>
  <c r="BB16" i="7"/>
  <c r="BA16" i="7"/>
  <c r="AZ16" i="7"/>
  <c r="AY16" i="7" s="1"/>
  <c r="BD16" i="7" s="1"/>
  <c r="AN16" i="7"/>
  <c r="AM16" i="7"/>
  <c r="AL16" i="7"/>
  <c r="AF16" i="7"/>
  <c r="AE16" i="7"/>
  <c r="AG16" i="7" s="1"/>
  <c r="AC16" i="7"/>
  <c r="AD16" i="7" s="1"/>
  <c r="AB16" i="7"/>
  <c r="AA16" i="7"/>
  <c r="Z16" i="7"/>
  <c r="BD15" i="7"/>
  <c r="BB15" i="7"/>
  <c r="BA15" i="7"/>
  <c r="AZ15" i="7"/>
  <c r="AY15" i="7" s="1"/>
  <c r="AN15" i="7"/>
  <c r="AM15" i="7"/>
  <c r="AL15" i="7"/>
  <c r="AK15" i="7" s="1"/>
  <c r="AP15" i="7" s="1"/>
  <c r="AF15" i="7"/>
  <c r="AE15" i="7"/>
  <c r="AC15" i="7"/>
  <c r="AB15" i="7"/>
  <c r="AA15" i="7"/>
  <c r="Z15" i="7"/>
  <c r="BB14" i="7"/>
  <c r="BA14" i="7"/>
  <c r="AZ14" i="7"/>
  <c r="AO14" i="7"/>
  <c r="AN14" i="7"/>
  <c r="AM14" i="7"/>
  <c r="AL14" i="7"/>
  <c r="AF14" i="7"/>
  <c r="AE14" i="7"/>
  <c r="AG14" i="7" s="1"/>
  <c r="AC14" i="7"/>
  <c r="AB14" i="7"/>
  <c r="AA14" i="7"/>
  <c r="Z14" i="7"/>
  <c r="BB13" i="7"/>
  <c r="BA13" i="7"/>
  <c r="AZ13" i="7"/>
  <c r="AN13" i="7"/>
  <c r="AM13" i="7"/>
  <c r="AL13" i="7"/>
  <c r="AF13" i="7"/>
  <c r="AG13" i="7" s="1"/>
  <c r="AE13" i="7"/>
  <c r="AC13" i="7"/>
  <c r="AB13" i="7"/>
  <c r="AA13" i="7"/>
  <c r="Z13" i="7"/>
  <c r="Y13" i="7" s="1"/>
  <c r="AF12" i="7"/>
  <c r="AE12" i="7"/>
  <c r="AG12" i="7" s="1"/>
  <c r="AC12" i="7"/>
  <c r="AB12" i="7"/>
  <c r="AA12" i="7"/>
  <c r="Z12" i="7"/>
  <c r="AN11" i="7"/>
  <c r="AM11" i="7"/>
  <c r="AL11" i="7"/>
  <c r="AF11" i="7"/>
  <c r="AE11" i="7"/>
  <c r="AC11" i="7"/>
  <c r="AB11" i="7"/>
  <c r="AA11" i="7"/>
  <c r="Z11" i="7"/>
  <c r="Y11" i="7" s="1"/>
  <c r="AN10" i="7"/>
  <c r="AM10" i="7"/>
  <c r="AL10" i="7"/>
  <c r="AG10" i="7"/>
  <c r="AF10" i="7"/>
  <c r="AE10" i="7"/>
  <c r="AC10" i="7"/>
  <c r="AB10" i="7"/>
  <c r="AD10" i="7" s="1"/>
  <c r="AA10" i="7"/>
  <c r="Z10" i="7"/>
  <c r="BB9" i="7"/>
  <c r="BA9" i="7"/>
  <c r="AY9" i="7" s="1"/>
  <c r="BD9" i="7" s="1"/>
  <c r="AZ9" i="7"/>
  <c r="AN9" i="7"/>
  <c r="AM9" i="7"/>
  <c r="AL9" i="7"/>
  <c r="AK9" i="7" s="1"/>
  <c r="AF9" i="7"/>
  <c r="AE9" i="7"/>
  <c r="AC9" i="7"/>
  <c r="AB9" i="7"/>
  <c r="AD9" i="7" s="1"/>
  <c r="AA9" i="7"/>
  <c r="Z9" i="7"/>
  <c r="BC8" i="7"/>
  <c r="BB8" i="7"/>
  <c r="BA8" i="7"/>
  <c r="AZ8" i="7"/>
  <c r="AN8" i="7"/>
  <c r="AM8" i="7"/>
  <c r="AL8" i="7"/>
  <c r="AF8" i="7"/>
  <c r="AE8" i="7"/>
  <c r="AG8" i="7" s="1"/>
  <c r="AC8" i="7"/>
  <c r="AB8" i="7"/>
  <c r="AA8" i="7"/>
  <c r="Z8" i="7"/>
  <c r="BB7" i="7"/>
  <c r="BA7" i="7"/>
  <c r="AZ7" i="7"/>
  <c r="AF7" i="7"/>
  <c r="AE7" i="7"/>
  <c r="AG7" i="7" s="1"/>
  <c r="AC7" i="7"/>
  <c r="AB7" i="7"/>
  <c r="AA7" i="7"/>
  <c r="Z7" i="7"/>
  <c r="Y7" i="7"/>
  <c r="BB6" i="7"/>
  <c r="BA6" i="7"/>
  <c r="AZ6" i="7"/>
  <c r="AO6" i="7"/>
  <c r="AN6" i="7"/>
  <c r="AM6" i="7"/>
  <c r="AL6" i="7"/>
  <c r="AF6" i="7"/>
  <c r="AE6" i="7"/>
  <c r="AC6" i="7"/>
  <c r="AD6" i="7" s="1"/>
  <c r="AB6" i="7"/>
  <c r="AA6" i="7"/>
  <c r="Z6" i="7"/>
  <c r="Y6" i="7"/>
  <c r="BB5" i="7"/>
  <c r="BA5" i="7"/>
  <c r="AZ5" i="7"/>
  <c r="AN5" i="7"/>
  <c r="AM5" i="7"/>
  <c r="AL5" i="7"/>
  <c r="AO5" i="7" s="1"/>
  <c r="AG5" i="7"/>
  <c r="AF5" i="7"/>
  <c r="AE5" i="7"/>
  <c r="AC5" i="7"/>
  <c r="AB5" i="7"/>
  <c r="AA5" i="7"/>
  <c r="Z5" i="7"/>
  <c r="Y5" i="7" s="1"/>
  <c r="BB4" i="7"/>
  <c r="BA4" i="7"/>
  <c r="AZ4" i="7"/>
  <c r="AY4" i="7" s="1"/>
  <c r="AO4" i="7"/>
  <c r="AN4" i="7"/>
  <c r="AK4" i="7" s="1"/>
  <c r="AP4" i="7" s="1"/>
  <c r="AM4" i="7"/>
  <c r="AL4" i="7"/>
  <c r="AF4" i="7"/>
  <c r="AE4" i="7"/>
  <c r="AG4" i="7" s="1"/>
  <c r="AC4" i="7"/>
  <c r="AD4" i="7" s="1"/>
  <c r="AB4" i="7"/>
  <c r="AA4" i="7"/>
  <c r="Z4" i="7"/>
  <c r="Y4" i="7"/>
  <c r="BC3" i="7"/>
  <c r="BB3" i="7"/>
  <c r="BA3" i="7"/>
  <c r="AZ3" i="7"/>
  <c r="AN3" i="7"/>
  <c r="AM3" i="7"/>
  <c r="AL3" i="7"/>
  <c r="AF3" i="7"/>
  <c r="AE3" i="7"/>
  <c r="AG3" i="7" s="1"/>
  <c r="AC3" i="7"/>
  <c r="AB3" i="7"/>
  <c r="AD3" i="7" s="1"/>
  <c r="AA3" i="7"/>
  <c r="Z3" i="7"/>
  <c r="Y3" i="7" s="1"/>
  <c r="O50" i="3"/>
  <c r="P50" i="3" s="1"/>
  <c r="T50" i="3" s="1"/>
  <c r="N50" i="3"/>
  <c r="O49" i="3"/>
  <c r="O51" i="3" s="1"/>
  <c r="N49" i="3"/>
  <c r="AI43" i="3"/>
  <c r="AH43" i="3"/>
  <c r="AG43" i="3"/>
  <c r="AD43" i="3"/>
  <c r="AC43" i="3"/>
  <c r="AB43" i="3"/>
  <c r="AA43" i="3"/>
  <c r="Z43" i="3"/>
  <c r="AI42" i="3"/>
  <c r="AH42" i="3"/>
  <c r="AJ42" i="3" s="1"/>
  <c r="AC42" i="3"/>
  <c r="AB42" i="3"/>
  <c r="AA42" i="3"/>
  <c r="AG42" i="3" s="1"/>
  <c r="Z42" i="3"/>
  <c r="AF42" i="3" s="1"/>
  <c r="Y42" i="3"/>
  <c r="AI41" i="3"/>
  <c r="AH41" i="3"/>
  <c r="AC41" i="3"/>
  <c r="AB41" i="3"/>
  <c r="AA41" i="3"/>
  <c r="AG41" i="3" s="1"/>
  <c r="Z41" i="3"/>
  <c r="AI40" i="3"/>
  <c r="AJ40" i="3" s="1"/>
  <c r="AH40" i="3"/>
  <c r="AC40" i="3"/>
  <c r="AB40" i="3"/>
  <c r="AD40" i="3" s="1"/>
  <c r="AA40" i="3"/>
  <c r="Z40" i="3"/>
  <c r="AF40" i="3" s="1"/>
  <c r="AI39" i="3"/>
  <c r="AJ39" i="3" s="1"/>
  <c r="AH39" i="3"/>
  <c r="AC39" i="3"/>
  <c r="AB39" i="3"/>
  <c r="AD39" i="3" s="1"/>
  <c r="AA39" i="3"/>
  <c r="AG39" i="3" s="1"/>
  <c r="Z39" i="3"/>
  <c r="AF39" i="3" s="1"/>
  <c r="AE39" i="3" s="1"/>
  <c r="AI38" i="3"/>
  <c r="AH38" i="3"/>
  <c r="AG38" i="3"/>
  <c r="AC38" i="3"/>
  <c r="AB38" i="3"/>
  <c r="AA38" i="3"/>
  <c r="Z38" i="3"/>
  <c r="Y38" i="3" s="1"/>
  <c r="AI37" i="3"/>
  <c r="AH37" i="3"/>
  <c r="AC37" i="3"/>
  <c r="AB37" i="3"/>
  <c r="AA37" i="3"/>
  <c r="AG37" i="3" s="1"/>
  <c r="Z37" i="3"/>
  <c r="AF37" i="3" s="1"/>
  <c r="Y37" i="3"/>
  <c r="AI36" i="3"/>
  <c r="AH36" i="3"/>
  <c r="AG36" i="3"/>
  <c r="AD36" i="3"/>
  <c r="AC36" i="3"/>
  <c r="AB36" i="3"/>
  <c r="AA36" i="3"/>
  <c r="Z36" i="3"/>
  <c r="AI35" i="3"/>
  <c r="AH35" i="3"/>
  <c r="AD35" i="3"/>
  <c r="AC35" i="3"/>
  <c r="AB35" i="3"/>
  <c r="AA35" i="3"/>
  <c r="AG35" i="3" s="1"/>
  <c r="Z35" i="3"/>
  <c r="AI34" i="3"/>
  <c r="AH34" i="3"/>
  <c r="AC34" i="3"/>
  <c r="AB34" i="3"/>
  <c r="AD34" i="3" s="1"/>
  <c r="AA34" i="3"/>
  <c r="AG34" i="3" s="1"/>
  <c r="Z34" i="3"/>
  <c r="AI33" i="3"/>
  <c r="AH33" i="3"/>
  <c r="AC33" i="3"/>
  <c r="AB33" i="3"/>
  <c r="AD33" i="3" s="1"/>
  <c r="AA33" i="3"/>
  <c r="AG33" i="3" s="1"/>
  <c r="Z33" i="3"/>
  <c r="AF33" i="3" s="1"/>
  <c r="AI32" i="3"/>
  <c r="AH32" i="3"/>
  <c r="AC32" i="3"/>
  <c r="AB32" i="3"/>
  <c r="AA32" i="3"/>
  <c r="AG32" i="3" s="1"/>
  <c r="Z32" i="3"/>
  <c r="Y32" i="3" s="1"/>
  <c r="AI31" i="3"/>
  <c r="AJ31" i="3" s="1"/>
  <c r="AH31" i="3"/>
  <c r="AC31" i="3"/>
  <c r="AB31" i="3"/>
  <c r="AD31" i="3" s="1"/>
  <c r="AA31" i="3"/>
  <c r="AG31" i="3" s="1"/>
  <c r="Z31" i="3"/>
  <c r="AI30" i="3"/>
  <c r="AH30" i="3"/>
  <c r="AC30" i="3"/>
  <c r="AB30" i="3"/>
  <c r="AD30" i="3" s="1"/>
  <c r="AA30" i="3"/>
  <c r="AG30" i="3" s="1"/>
  <c r="Z30" i="3"/>
  <c r="AF30" i="3" s="1"/>
  <c r="Y30" i="3"/>
  <c r="AI29" i="3"/>
  <c r="AH29" i="3"/>
  <c r="AF29" i="3"/>
  <c r="AE29" i="3" s="1"/>
  <c r="AD29" i="3"/>
  <c r="AC29" i="3"/>
  <c r="AB29" i="3"/>
  <c r="AA29" i="3"/>
  <c r="AG29" i="3" s="1"/>
  <c r="Z29" i="3"/>
  <c r="AI28" i="3"/>
  <c r="AH28" i="3"/>
  <c r="AJ28" i="3" s="1"/>
  <c r="AF28" i="3"/>
  <c r="AC28" i="3"/>
  <c r="AB28" i="3"/>
  <c r="AA28" i="3"/>
  <c r="AG28" i="3" s="1"/>
  <c r="Z28" i="3"/>
  <c r="Y28" i="3"/>
  <c r="AI27" i="3"/>
  <c r="AJ27" i="3" s="1"/>
  <c r="AH27" i="3"/>
  <c r="AF27" i="3"/>
  <c r="AE27" i="3" s="1"/>
  <c r="AC27" i="3"/>
  <c r="AD27" i="3" s="1"/>
  <c r="AB27" i="3"/>
  <c r="AA27" i="3"/>
  <c r="AG27" i="3" s="1"/>
  <c r="Z27" i="3"/>
  <c r="AI26" i="3"/>
  <c r="AH26" i="3"/>
  <c r="AJ26" i="3" s="1"/>
  <c r="AF26" i="3"/>
  <c r="AD26" i="3"/>
  <c r="AC26" i="3"/>
  <c r="AB26" i="3"/>
  <c r="AA26" i="3"/>
  <c r="AG26" i="3" s="1"/>
  <c r="Z26" i="3"/>
  <c r="AI25" i="3"/>
  <c r="AH25" i="3"/>
  <c r="AJ25" i="3" s="1"/>
  <c r="AC25" i="3"/>
  <c r="AB25" i="3"/>
  <c r="AD25" i="3" s="1"/>
  <c r="AA25" i="3"/>
  <c r="AG25" i="3" s="1"/>
  <c r="Z25" i="3"/>
  <c r="AF25" i="3" s="1"/>
  <c r="AE25" i="3" s="1"/>
  <c r="AI24" i="3"/>
  <c r="AH24" i="3"/>
  <c r="AG24" i="3"/>
  <c r="AF24" i="3"/>
  <c r="AE24" i="3" s="1"/>
  <c r="AC24" i="3"/>
  <c r="AB24" i="3"/>
  <c r="AA24" i="3"/>
  <c r="Z24" i="3"/>
  <c r="Y24" i="3"/>
  <c r="AI23" i="3"/>
  <c r="AH23" i="3"/>
  <c r="AJ23" i="3" s="1"/>
  <c r="AC23" i="3"/>
  <c r="AB23" i="3"/>
  <c r="AA23" i="3"/>
  <c r="AG23" i="3" s="1"/>
  <c r="AE23" i="3" s="1"/>
  <c r="Z23" i="3"/>
  <c r="AF23" i="3" s="1"/>
  <c r="BE22" i="3"/>
  <c r="BD22" i="3"/>
  <c r="BC22" i="3"/>
  <c r="BF22" i="3" s="1"/>
  <c r="AI22" i="3"/>
  <c r="AH22" i="3"/>
  <c r="AG22" i="3"/>
  <c r="AC22" i="3"/>
  <c r="AD22" i="3" s="1"/>
  <c r="AB22" i="3"/>
  <c r="AA22" i="3"/>
  <c r="Z22" i="3"/>
  <c r="AF22" i="3" s="1"/>
  <c r="Y22" i="3"/>
  <c r="BE21" i="3"/>
  <c r="BD21" i="3"/>
  <c r="BC21" i="3"/>
  <c r="AI21" i="3"/>
  <c r="AH21" i="3"/>
  <c r="AJ21" i="3" s="1"/>
  <c r="AD21" i="3"/>
  <c r="AC21" i="3"/>
  <c r="AB21" i="3"/>
  <c r="AA21" i="3"/>
  <c r="AG21" i="3" s="1"/>
  <c r="Z21" i="3"/>
  <c r="BF20" i="3"/>
  <c r="BE20" i="3"/>
  <c r="BD20" i="3"/>
  <c r="BC20" i="3"/>
  <c r="BB20" i="3" s="1"/>
  <c r="BG20" i="3" s="1"/>
  <c r="AI20" i="3"/>
  <c r="AH20" i="3"/>
  <c r="AJ20" i="3" s="1"/>
  <c r="AC20" i="3"/>
  <c r="AB20" i="3"/>
  <c r="AA20" i="3"/>
  <c r="AG20" i="3" s="1"/>
  <c r="Z20" i="3"/>
  <c r="Y20" i="3" s="1"/>
  <c r="BE19" i="3"/>
  <c r="BD19" i="3"/>
  <c r="BC19" i="3"/>
  <c r="BF19" i="3" s="1"/>
  <c r="AV19" i="3"/>
  <c r="AU19" i="3"/>
  <c r="AT19" i="3"/>
  <c r="AQ19" i="3"/>
  <c r="AP19" i="3"/>
  <c r="AO19" i="3"/>
  <c r="AN19" i="3" s="1"/>
  <c r="AS19" i="3" s="1"/>
  <c r="AI19" i="3"/>
  <c r="AH19" i="3"/>
  <c r="AC19" i="3"/>
  <c r="AB19" i="3"/>
  <c r="AA19" i="3"/>
  <c r="AG19" i="3" s="1"/>
  <c r="Z19" i="3"/>
  <c r="BE18" i="3"/>
  <c r="BD18" i="3"/>
  <c r="BC18" i="3"/>
  <c r="AU18" i="3"/>
  <c r="AT18" i="3"/>
  <c r="AV18" i="3" s="1"/>
  <c r="AQ18" i="3"/>
  <c r="AP18" i="3"/>
  <c r="AO18" i="3"/>
  <c r="AI18" i="3"/>
  <c r="AH18" i="3"/>
  <c r="AJ18" i="3" s="1"/>
  <c r="AD18" i="3"/>
  <c r="AC18" i="3"/>
  <c r="AB18" i="3"/>
  <c r="AA18" i="3"/>
  <c r="AG18" i="3" s="1"/>
  <c r="Z18" i="3"/>
  <c r="BE17" i="3"/>
  <c r="BB17" i="3" s="1"/>
  <c r="BD17" i="3"/>
  <c r="BC17" i="3"/>
  <c r="AU17" i="3"/>
  <c r="AT17" i="3"/>
  <c r="AV17" i="3" s="1"/>
  <c r="AQ17" i="3"/>
  <c r="AP17" i="3"/>
  <c r="AO17" i="3"/>
  <c r="AI17" i="3"/>
  <c r="AH17" i="3"/>
  <c r="AJ17" i="3" s="1"/>
  <c r="AC17" i="3"/>
  <c r="AB17" i="3"/>
  <c r="AA17" i="3"/>
  <c r="AG17" i="3" s="1"/>
  <c r="Z17" i="3"/>
  <c r="AF17" i="3" s="1"/>
  <c r="BE16" i="3"/>
  <c r="BD16" i="3"/>
  <c r="BC16" i="3"/>
  <c r="BF16" i="3" s="1"/>
  <c r="BB16" i="3"/>
  <c r="AU16" i="3"/>
  <c r="AT16" i="3"/>
  <c r="AQ16" i="3"/>
  <c r="AP16" i="3"/>
  <c r="AO16" i="3"/>
  <c r="AI16" i="3"/>
  <c r="AH16" i="3"/>
  <c r="AJ16" i="3" s="1"/>
  <c r="AC16" i="3"/>
  <c r="AB16" i="3"/>
  <c r="AD16" i="3" s="1"/>
  <c r="AA16" i="3"/>
  <c r="AG16" i="3" s="1"/>
  <c r="Z16" i="3"/>
  <c r="AF16" i="3" s="1"/>
  <c r="BE15" i="3"/>
  <c r="BD15" i="3"/>
  <c r="BC15" i="3"/>
  <c r="AU15" i="3"/>
  <c r="AV15" i="3" s="1"/>
  <c r="AT15" i="3"/>
  <c r="AQ15" i="3"/>
  <c r="AP15" i="3"/>
  <c r="AO15" i="3"/>
  <c r="AI15" i="3"/>
  <c r="AH15" i="3"/>
  <c r="AC15" i="3"/>
  <c r="AB15" i="3"/>
  <c r="AD15" i="3" s="1"/>
  <c r="AA15" i="3"/>
  <c r="Z15" i="3"/>
  <c r="AF15" i="3" s="1"/>
  <c r="BE14" i="3"/>
  <c r="BD14" i="3"/>
  <c r="BC14" i="3"/>
  <c r="AU14" i="3"/>
  <c r="AT14" i="3"/>
  <c r="AV14" i="3" s="1"/>
  <c r="AQ14" i="3"/>
  <c r="AP14" i="3"/>
  <c r="AO14" i="3"/>
  <c r="AI14" i="3"/>
  <c r="AH14" i="3"/>
  <c r="AJ14" i="3" s="1"/>
  <c r="AF14" i="3"/>
  <c r="AC14" i="3"/>
  <c r="AB14" i="3"/>
  <c r="AD14" i="3" s="1"/>
  <c r="AA14" i="3"/>
  <c r="AG14" i="3" s="1"/>
  <c r="Z14" i="3"/>
  <c r="Y14" i="3"/>
  <c r="BE13" i="3"/>
  <c r="BD13" i="3"/>
  <c r="BC13" i="3"/>
  <c r="AU13" i="3"/>
  <c r="AT13" i="3"/>
  <c r="AQ13" i="3"/>
  <c r="AP13" i="3"/>
  <c r="AO13" i="3"/>
  <c r="AN13" i="3" s="1"/>
  <c r="AI13" i="3"/>
  <c r="AH13" i="3"/>
  <c r="AC13" i="3"/>
  <c r="AB13" i="3"/>
  <c r="AA13" i="3"/>
  <c r="AG13" i="3" s="1"/>
  <c r="Z13" i="3"/>
  <c r="AF13" i="3" s="1"/>
  <c r="BE12" i="3"/>
  <c r="BD12" i="3"/>
  <c r="BC12" i="3"/>
  <c r="AU12" i="3"/>
  <c r="AT12" i="3"/>
  <c r="AQ12" i="3"/>
  <c r="AP12" i="3"/>
  <c r="AO12" i="3"/>
  <c r="AR12" i="3" s="1"/>
  <c r="AJ12" i="3"/>
  <c r="AI12" i="3"/>
  <c r="AH12" i="3"/>
  <c r="AC12" i="3"/>
  <c r="AB12" i="3"/>
  <c r="AA12" i="3"/>
  <c r="AG12" i="3" s="1"/>
  <c r="Z12" i="3"/>
  <c r="AF12" i="3" s="1"/>
  <c r="AE12" i="3" s="1"/>
  <c r="BE11" i="3"/>
  <c r="BD11" i="3"/>
  <c r="BC11" i="3"/>
  <c r="BF11" i="3" s="1"/>
  <c r="AU11" i="3"/>
  <c r="AT11" i="3"/>
  <c r="AV11" i="3" s="1"/>
  <c r="AQ11" i="3"/>
  <c r="AP11" i="3"/>
  <c r="AR11" i="3" s="1"/>
  <c r="AO11" i="3"/>
  <c r="AN11" i="3" s="1"/>
  <c r="AS11" i="3" s="1"/>
  <c r="AI11" i="3"/>
  <c r="AH11" i="3"/>
  <c r="AC11" i="3"/>
  <c r="AB11" i="3"/>
  <c r="AD11" i="3" s="1"/>
  <c r="AA11" i="3"/>
  <c r="AG11" i="3" s="1"/>
  <c r="Z11" i="3"/>
  <c r="AF11" i="3" s="1"/>
  <c r="BE10" i="3"/>
  <c r="BD10" i="3"/>
  <c r="BC10" i="3"/>
  <c r="BB10" i="3" s="1"/>
  <c r="AU10" i="3"/>
  <c r="AT10" i="3"/>
  <c r="AV10" i="3" s="1"/>
  <c r="AQ10" i="3"/>
  <c r="AP10" i="3"/>
  <c r="AO10" i="3"/>
  <c r="AI10" i="3"/>
  <c r="AH10" i="3"/>
  <c r="AC10" i="3"/>
  <c r="AB10" i="3"/>
  <c r="AD10" i="3" s="1"/>
  <c r="AA10" i="3"/>
  <c r="AG10" i="3" s="1"/>
  <c r="Z10" i="3"/>
  <c r="BE9" i="3"/>
  <c r="BD9" i="3"/>
  <c r="BC9" i="3"/>
  <c r="BF9" i="3" s="1"/>
  <c r="AU9" i="3"/>
  <c r="AT9" i="3"/>
  <c r="AV9" i="3" s="1"/>
  <c r="AQ9" i="3"/>
  <c r="AP9" i="3"/>
  <c r="AO9" i="3"/>
  <c r="AN9" i="3" s="1"/>
  <c r="AJ9" i="3"/>
  <c r="AI9" i="3"/>
  <c r="AH9" i="3"/>
  <c r="AC9" i="3"/>
  <c r="AB9" i="3"/>
  <c r="AD9" i="3" s="1"/>
  <c r="AA9" i="3"/>
  <c r="AG9" i="3" s="1"/>
  <c r="Z9" i="3"/>
  <c r="AF9" i="3" s="1"/>
  <c r="AE9" i="3" s="1"/>
  <c r="Y9" i="3"/>
  <c r="BE8" i="3"/>
  <c r="BD8" i="3"/>
  <c r="BC8" i="3"/>
  <c r="AV8" i="3"/>
  <c r="AU8" i="3"/>
  <c r="AT8" i="3"/>
  <c r="AQ8" i="3"/>
  <c r="AP8" i="3"/>
  <c r="AO8" i="3"/>
  <c r="AN8" i="3" s="1"/>
  <c r="AI8" i="3"/>
  <c r="AH8" i="3"/>
  <c r="AJ8" i="3" s="1"/>
  <c r="AC8" i="3"/>
  <c r="AB8" i="3"/>
  <c r="AA8" i="3"/>
  <c r="AG8" i="3" s="1"/>
  <c r="Z8" i="3"/>
  <c r="BE7" i="3"/>
  <c r="BD7" i="3"/>
  <c r="BC7" i="3"/>
  <c r="BF7" i="3" s="1"/>
  <c r="AU7" i="3"/>
  <c r="AV7" i="3" s="1"/>
  <c r="AT7" i="3"/>
  <c r="AQ7" i="3"/>
  <c r="AP7" i="3"/>
  <c r="AO7" i="3"/>
  <c r="AN7" i="3" s="1"/>
  <c r="AI7" i="3"/>
  <c r="AH7" i="3"/>
  <c r="AC7" i="3"/>
  <c r="AB7" i="3"/>
  <c r="AA7" i="3"/>
  <c r="AG7" i="3" s="1"/>
  <c r="Z7" i="3"/>
  <c r="AF7" i="3" s="1"/>
  <c r="BE6" i="3"/>
  <c r="BD6" i="3"/>
  <c r="BC6" i="3"/>
  <c r="BF6" i="3" s="1"/>
  <c r="AI6" i="3"/>
  <c r="AJ6" i="3" s="1"/>
  <c r="AH6" i="3"/>
  <c r="AC6" i="3"/>
  <c r="AB6" i="3"/>
  <c r="AD6" i="3" s="1"/>
  <c r="AA6" i="3"/>
  <c r="AG6" i="3" s="1"/>
  <c r="Z6" i="3"/>
  <c r="BE5" i="3"/>
  <c r="BD5" i="3"/>
  <c r="BC5" i="3"/>
  <c r="BF5" i="3" s="1"/>
  <c r="BH5" i="3" s="1"/>
  <c r="BB5" i="3"/>
  <c r="AQ5" i="3"/>
  <c r="AP5" i="3"/>
  <c r="AI5" i="3"/>
  <c r="AJ5" i="3" s="1"/>
  <c r="AH5" i="3"/>
  <c r="AC5" i="3"/>
  <c r="AB5" i="3"/>
  <c r="AD5" i="3" s="1"/>
  <c r="AA5" i="3"/>
  <c r="AG5" i="3" s="1"/>
  <c r="Z5" i="3"/>
  <c r="AF5" i="3" s="1"/>
  <c r="Y5" i="3"/>
  <c r="BF4" i="3"/>
  <c r="BE4" i="3"/>
  <c r="BB4" i="3" s="1"/>
  <c r="BD4" i="3"/>
  <c r="BC4" i="3"/>
  <c r="AU4" i="3"/>
  <c r="AY4" i="3" s="1"/>
  <c r="AT4" i="3"/>
  <c r="AT5" i="3" s="1"/>
  <c r="AS4" i="3"/>
  <c r="AQ4" i="3"/>
  <c r="AP4" i="3"/>
  <c r="AO4" i="3"/>
  <c r="AR4" i="3" s="1"/>
  <c r="AN4" i="3"/>
  <c r="AI4" i="3"/>
  <c r="AH4" i="3"/>
  <c r="AD4" i="3"/>
  <c r="AC4" i="3"/>
  <c r="AB4" i="3"/>
  <c r="AA4" i="3"/>
  <c r="AG4" i="3" s="1"/>
  <c r="Z4" i="3"/>
  <c r="AF4" i="3" s="1"/>
  <c r="AE4" i="3" s="1"/>
  <c r="Y4" i="3"/>
  <c r="BF3" i="3"/>
  <c r="BE3" i="3"/>
  <c r="BB3" i="3" s="1"/>
  <c r="BG3" i="3" s="1"/>
  <c r="BD3" i="3"/>
  <c r="BC3" i="3"/>
  <c r="AU3" i="3"/>
  <c r="AT3" i="3"/>
  <c r="AV3" i="3" s="1"/>
  <c r="AQ3" i="3"/>
  <c r="AP3" i="3"/>
  <c r="AO3" i="3"/>
  <c r="AR3" i="3" s="1"/>
  <c r="AR5" i="3" s="1"/>
  <c r="AW5" i="3" s="1"/>
  <c r="AN3" i="3"/>
  <c r="AN5" i="3" s="1"/>
  <c r="AI3" i="3"/>
  <c r="AH3" i="3"/>
  <c r="AC3" i="3"/>
  <c r="AB3" i="3"/>
  <c r="AD3" i="3" s="1"/>
  <c r="AA3" i="3"/>
  <c r="AG3" i="3" s="1"/>
  <c r="Z3" i="3"/>
  <c r="AF3" i="3" s="1"/>
  <c r="E80" i="2"/>
  <c r="D80" i="2"/>
  <c r="B80" i="2"/>
  <c r="E79" i="2"/>
  <c r="D79" i="2"/>
  <c r="C79" i="2"/>
  <c r="B79" i="2"/>
  <c r="E78" i="2"/>
  <c r="D78" i="2"/>
  <c r="C78" i="2"/>
  <c r="B78" i="2"/>
  <c r="O45" i="1"/>
  <c r="P45" i="1" s="1"/>
  <c r="T45" i="1" s="1"/>
  <c r="N45" i="1"/>
  <c r="O44" i="1"/>
  <c r="N44" i="1"/>
  <c r="AI43" i="1"/>
  <c r="AH43" i="1"/>
  <c r="AC43" i="1"/>
  <c r="AB43" i="1"/>
  <c r="AA43" i="1"/>
  <c r="AG43" i="1" s="1"/>
  <c r="Z43" i="1"/>
  <c r="AF43" i="1" s="1"/>
  <c r="AI42" i="1"/>
  <c r="AH42" i="1"/>
  <c r="AC42" i="1"/>
  <c r="AB42" i="1"/>
  <c r="AA42" i="1"/>
  <c r="AG42" i="1" s="1"/>
  <c r="Z42" i="1"/>
  <c r="AF42" i="1" s="1"/>
  <c r="AI41" i="1"/>
  <c r="AH41" i="1"/>
  <c r="AC41" i="1"/>
  <c r="AB41" i="1"/>
  <c r="AA41" i="1"/>
  <c r="AG41" i="1" s="1"/>
  <c r="Z41" i="1"/>
  <c r="AF41" i="1" s="1"/>
  <c r="AI40" i="1"/>
  <c r="AH40" i="1"/>
  <c r="AC40" i="1"/>
  <c r="AB40" i="1"/>
  <c r="AA40" i="1"/>
  <c r="AG40" i="1" s="1"/>
  <c r="Z40" i="1"/>
  <c r="AF40" i="1" s="1"/>
  <c r="AI39" i="1"/>
  <c r="AH39" i="1"/>
  <c r="AC39" i="1"/>
  <c r="AB39" i="1"/>
  <c r="AA39" i="1"/>
  <c r="AG39" i="1" s="1"/>
  <c r="Z39" i="1"/>
  <c r="AI38" i="1"/>
  <c r="AH38" i="1"/>
  <c r="AC38" i="1"/>
  <c r="AB38" i="1"/>
  <c r="AA38" i="1"/>
  <c r="AG38" i="1" s="1"/>
  <c r="Z38" i="1"/>
  <c r="AF38" i="1" s="1"/>
  <c r="AI37" i="1"/>
  <c r="AH37" i="1"/>
  <c r="AC37" i="1"/>
  <c r="AB37" i="1"/>
  <c r="AA37" i="1"/>
  <c r="AG37" i="1" s="1"/>
  <c r="Z37" i="1"/>
  <c r="AI36" i="1"/>
  <c r="AH36" i="1"/>
  <c r="AC36" i="1"/>
  <c r="AB36" i="1"/>
  <c r="AA36" i="1"/>
  <c r="AG36" i="1" s="1"/>
  <c r="Z36" i="1"/>
  <c r="AF36" i="1" s="1"/>
  <c r="AI35" i="1"/>
  <c r="AH35" i="1"/>
  <c r="AC35" i="1"/>
  <c r="AB35" i="1"/>
  <c r="AA35" i="1"/>
  <c r="AG35" i="1" s="1"/>
  <c r="Z35" i="1"/>
  <c r="AF35" i="1" s="1"/>
  <c r="AI34" i="1"/>
  <c r="AH34" i="1"/>
  <c r="AC34" i="1"/>
  <c r="AB34" i="1"/>
  <c r="AA34" i="1"/>
  <c r="AG34" i="1" s="1"/>
  <c r="Z34" i="1"/>
  <c r="AF34" i="1" s="1"/>
  <c r="AI33" i="1"/>
  <c r="AH33" i="1"/>
  <c r="AC33" i="1"/>
  <c r="AB33" i="1"/>
  <c r="AA33" i="1"/>
  <c r="AG33" i="1" s="1"/>
  <c r="Z33" i="1"/>
  <c r="AF33" i="1" s="1"/>
  <c r="AI32" i="1"/>
  <c r="AH32" i="1"/>
  <c r="AC32" i="1"/>
  <c r="AB32" i="1"/>
  <c r="AA32" i="1"/>
  <c r="AG32" i="1" s="1"/>
  <c r="Z32" i="1"/>
  <c r="AF32" i="1" s="1"/>
  <c r="AI31" i="1"/>
  <c r="AH31" i="1"/>
  <c r="AC31" i="1"/>
  <c r="AB31" i="1"/>
  <c r="AA31" i="1"/>
  <c r="AG31" i="1" s="1"/>
  <c r="Z31" i="1"/>
  <c r="AF31" i="1" s="1"/>
  <c r="AI30" i="1"/>
  <c r="AH30" i="1"/>
  <c r="AJ30" i="1" s="1"/>
  <c r="AC30" i="1"/>
  <c r="AB30" i="1"/>
  <c r="AD30" i="1" s="1"/>
  <c r="AA30" i="1"/>
  <c r="AG30" i="1" s="1"/>
  <c r="Z30" i="1"/>
  <c r="AI29" i="1"/>
  <c r="AH29" i="1"/>
  <c r="AC29" i="1"/>
  <c r="AB29" i="1"/>
  <c r="AA29" i="1"/>
  <c r="AG29" i="1" s="1"/>
  <c r="Z29" i="1"/>
  <c r="AF29" i="1" s="1"/>
  <c r="AI28" i="1"/>
  <c r="AH28" i="1"/>
  <c r="AC28" i="1"/>
  <c r="AB28" i="1"/>
  <c r="AA28" i="1"/>
  <c r="AG28" i="1" s="1"/>
  <c r="Z28" i="1"/>
  <c r="AF28" i="1" s="1"/>
  <c r="AI27" i="1"/>
  <c r="AH27" i="1"/>
  <c r="AC27" i="1"/>
  <c r="AB27" i="1"/>
  <c r="AA27" i="1"/>
  <c r="AG27" i="1" s="1"/>
  <c r="Z27" i="1"/>
  <c r="AF27" i="1" s="1"/>
  <c r="AI26" i="1"/>
  <c r="AH26" i="1"/>
  <c r="AC26" i="1"/>
  <c r="AB26" i="1"/>
  <c r="AA26" i="1"/>
  <c r="AG26" i="1" s="1"/>
  <c r="Z26" i="1"/>
  <c r="AF26" i="1" s="1"/>
  <c r="AI25" i="1"/>
  <c r="AH25" i="1"/>
  <c r="AC25" i="1"/>
  <c r="AB25" i="1"/>
  <c r="AA25" i="1"/>
  <c r="AG25" i="1" s="1"/>
  <c r="Z25" i="1"/>
  <c r="AI24" i="1"/>
  <c r="AH24" i="1"/>
  <c r="AC24" i="1"/>
  <c r="AB24" i="1"/>
  <c r="AA24" i="1"/>
  <c r="AG24" i="1" s="1"/>
  <c r="Z24" i="1"/>
  <c r="AI23" i="1"/>
  <c r="AH23" i="1"/>
  <c r="AC23" i="1"/>
  <c r="AB23" i="1"/>
  <c r="AA23" i="1"/>
  <c r="AG23" i="1" s="1"/>
  <c r="Z23" i="1"/>
  <c r="AF23" i="1" s="1"/>
  <c r="AI22" i="1"/>
  <c r="AH22" i="1"/>
  <c r="AC22" i="1"/>
  <c r="AB22" i="1"/>
  <c r="AA22" i="1"/>
  <c r="AG22" i="1" s="1"/>
  <c r="Z22" i="1"/>
  <c r="AF22" i="1" s="1"/>
  <c r="AI21" i="1"/>
  <c r="AH21" i="1"/>
  <c r="AC21" i="1"/>
  <c r="AB21" i="1"/>
  <c r="AA21" i="1"/>
  <c r="AG21" i="1" s="1"/>
  <c r="Z21" i="1"/>
  <c r="AF21" i="1" s="1"/>
  <c r="AI20" i="1"/>
  <c r="AH20" i="1"/>
  <c r="AJ20" i="1" s="1"/>
  <c r="AC20" i="1"/>
  <c r="AB20" i="1"/>
  <c r="AA20" i="1"/>
  <c r="AG20" i="1" s="1"/>
  <c r="Z20" i="1"/>
  <c r="AF20" i="1" s="1"/>
  <c r="AI19" i="1"/>
  <c r="AH19" i="1"/>
  <c r="AC19" i="1"/>
  <c r="AB19" i="1"/>
  <c r="AA19" i="1"/>
  <c r="AG19" i="1" s="1"/>
  <c r="Z19" i="1"/>
  <c r="AF19" i="1" s="1"/>
  <c r="AI18" i="1"/>
  <c r="AH18" i="1"/>
  <c r="AC18" i="1"/>
  <c r="AB18" i="1"/>
  <c r="AA18" i="1"/>
  <c r="AG18" i="1" s="1"/>
  <c r="Z18" i="1"/>
  <c r="AF18" i="1" s="1"/>
  <c r="AU17" i="1"/>
  <c r="AT17" i="1"/>
  <c r="AQ17" i="1"/>
  <c r="AP17" i="1"/>
  <c r="AO17" i="1"/>
  <c r="AI17" i="1"/>
  <c r="AH17" i="1"/>
  <c r="AC17" i="1"/>
  <c r="AB17" i="1"/>
  <c r="AA17" i="1"/>
  <c r="AG17" i="1" s="1"/>
  <c r="Z17" i="1"/>
  <c r="AU16" i="1"/>
  <c r="AT16" i="1"/>
  <c r="AQ16" i="1"/>
  <c r="AP16" i="1"/>
  <c r="AO16" i="1"/>
  <c r="AI16" i="1"/>
  <c r="AH16" i="1"/>
  <c r="AC16" i="1"/>
  <c r="AB16" i="1"/>
  <c r="AA16" i="1"/>
  <c r="AG16" i="1" s="1"/>
  <c r="Z16" i="1"/>
  <c r="AF16" i="1" s="1"/>
  <c r="AU15" i="1"/>
  <c r="AT15" i="1"/>
  <c r="AQ15" i="1"/>
  <c r="AP15" i="1"/>
  <c r="AO15" i="1"/>
  <c r="AI15" i="1"/>
  <c r="AH15" i="1"/>
  <c r="AC15" i="1"/>
  <c r="AB15" i="1"/>
  <c r="AA15" i="1"/>
  <c r="AG15" i="1" s="1"/>
  <c r="Z15" i="1"/>
  <c r="AF15" i="1" s="1"/>
  <c r="BE14" i="1"/>
  <c r="BD14" i="1"/>
  <c r="BC14" i="1"/>
  <c r="AU14" i="1"/>
  <c r="AT14" i="1"/>
  <c r="AQ14" i="1"/>
  <c r="AP14" i="1"/>
  <c r="AO14" i="1"/>
  <c r="AI14" i="1"/>
  <c r="AH14" i="1"/>
  <c r="AC14" i="1"/>
  <c r="AB14" i="1"/>
  <c r="AA14" i="1"/>
  <c r="AG14" i="1" s="1"/>
  <c r="Z14" i="1"/>
  <c r="BE13" i="1"/>
  <c r="BD13" i="1"/>
  <c r="BC13" i="1"/>
  <c r="AU13" i="1"/>
  <c r="AT13" i="1"/>
  <c r="AQ13" i="1"/>
  <c r="AP13" i="1"/>
  <c r="AO13" i="1"/>
  <c r="AI13" i="1"/>
  <c r="AH13" i="1"/>
  <c r="AC13" i="1"/>
  <c r="AB13" i="1"/>
  <c r="AA13" i="1"/>
  <c r="AG13" i="1" s="1"/>
  <c r="Z13" i="1"/>
  <c r="AF13" i="1" s="1"/>
  <c r="BE12" i="1"/>
  <c r="BD12" i="1"/>
  <c r="BC12" i="1"/>
  <c r="AU12" i="1"/>
  <c r="AT12" i="1"/>
  <c r="AQ12" i="1"/>
  <c r="AP12" i="1"/>
  <c r="AO12" i="1"/>
  <c r="AI12" i="1"/>
  <c r="AH12" i="1"/>
  <c r="AC12" i="1"/>
  <c r="AB12" i="1"/>
  <c r="AA12" i="1"/>
  <c r="AG12" i="1" s="1"/>
  <c r="Z12" i="1"/>
  <c r="AF12" i="1" s="1"/>
  <c r="BE11" i="1"/>
  <c r="BD11" i="1"/>
  <c r="BC11" i="1"/>
  <c r="AU11" i="1"/>
  <c r="AT11" i="1"/>
  <c r="AQ11" i="1"/>
  <c r="AP11" i="1"/>
  <c r="AO11" i="1"/>
  <c r="AI11" i="1"/>
  <c r="AH11" i="1"/>
  <c r="AC11" i="1"/>
  <c r="AB11" i="1"/>
  <c r="AA11" i="1"/>
  <c r="AG11" i="1" s="1"/>
  <c r="Z11" i="1"/>
  <c r="BE10" i="1"/>
  <c r="BD10" i="1"/>
  <c r="BC10" i="1"/>
  <c r="AU10" i="1"/>
  <c r="AT10" i="1"/>
  <c r="AQ10" i="1"/>
  <c r="AP10" i="1"/>
  <c r="AO10" i="1"/>
  <c r="AI10" i="1"/>
  <c r="AH10" i="1"/>
  <c r="AC10" i="1"/>
  <c r="AB10" i="1"/>
  <c r="AA10" i="1"/>
  <c r="AG10" i="1" s="1"/>
  <c r="Z10" i="1"/>
  <c r="AF10" i="1" s="1"/>
  <c r="BE9" i="1"/>
  <c r="BD9" i="1"/>
  <c r="BC9" i="1"/>
  <c r="AU9" i="1"/>
  <c r="AT9" i="1"/>
  <c r="AQ9" i="1"/>
  <c r="AP9" i="1"/>
  <c r="AO9" i="1"/>
  <c r="AI9" i="1"/>
  <c r="AH9" i="1"/>
  <c r="AC9" i="1"/>
  <c r="AB9" i="1"/>
  <c r="AA9" i="1"/>
  <c r="AG9" i="1" s="1"/>
  <c r="Z9" i="1"/>
  <c r="AF9" i="1" s="1"/>
  <c r="BE8" i="1"/>
  <c r="BD8" i="1"/>
  <c r="BC8" i="1"/>
  <c r="AU8" i="1"/>
  <c r="AT8" i="1"/>
  <c r="AQ8" i="1"/>
  <c r="AP8" i="1"/>
  <c r="AO8" i="1"/>
  <c r="AI8" i="1"/>
  <c r="AH8" i="1"/>
  <c r="AC8" i="1"/>
  <c r="AB8" i="1"/>
  <c r="AA8" i="1"/>
  <c r="AG8" i="1" s="1"/>
  <c r="Z8" i="1"/>
  <c r="AF8" i="1" s="1"/>
  <c r="BE7" i="1"/>
  <c r="BD7" i="1"/>
  <c r="BC7" i="1"/>
  <c r="AU7" i="1"/>
  <c r="AT7" i="1"/>
  <c r="AQ7" i="1"/>
  <c r="AP7" i="1"/>
  <c r="AO7" i="1"/>
  <c r="AI7" i="1"/>
  <c r="AH7" i="1"/>
  <c r="AC7" i="1"/>
  <c r="AB7" i="1"/>
  <c r="AA7" i="1"/>
  <c r="AG7" i="1" s="1"/>
  <c r="Z7" i="1"/>
  <c r="AF7" i="1" s="1"/>
  <c r="BE6" i="1"/>
  <c r="BD6" i="1"/>
  <c r="BC6" i="1"/>
  <c r="AI6" i="1"/>
  <c r="AH6" i="1"/>
  <c r="AC6" i="1"/>
  <c r="AB6" i="1"/>
  <c r="AA6" i="1"/>
  <c r="AG6" i="1" s="1"/>
  <c r="Z6" i="1"/>
  <c r="BE5" i="1"/>
  <c r="BD5" i="1"/>
  <c r="BC5" i="1"/>
  <c r="AI5" i="1"/>
  <c r="AH5" i="1"/>
  <c r="AC5" i="1"/>
  <c r="AB5" i="1"/>
  <c r="AA5" i="1"/>
  <c r="AG5" i="1" s="1"/>
  <c r="Z5" i="1"/>
  <c r="AF5" i="1" s="1"/>
  <c r="BE4" i="1"/>
  <c r="BD4" i="1"/>
  <c r="BC4" i="1"/>
  <c r="AU4" i="1"/>
  <c r="AT4" i="1"/>
  <c r="AQ4" i="1"/>
  <c r="AP4" i="1"/>
  <c r="AO4" i="1"/>
  <c r="AI4" i="1"/>
  <c r="AH4" i="1"/>
  <c r="AC4" i="1"/>
  <c r="AB4" i="1"/>
  <c r="AA4" i="1"/>
  <c r="Z4" i="1"/>
  <c r="AF4" i="1" s="1"/>
  <c r="BE3" i="1"/>
  <c r="BD3" i="1"/>
  <c r="BC3" i="1"/>
  <c r="AU3" i="1"/>
  <c r="AT3" i="1"/>
  <c r="AQ3" i="1"/>
  <c r="AP3" i="1"/>
  <c r="AO3" i="1"/>
  <c r="AI3" i="1"/>
  <c r="AH3" i="1"/>
  <c r="AJ3" i="1" s="1"/>
  <c r="AC3" i="1"/>
  <c r="AB3" i="1"/>
  <c r="AA3" i="1"/>
  <c r="AG3" i="1" s="1"/>
  <c r="Z3" i="1"/>
  <c r="AF3" i="1" s="1"/>
  <c r="Q7" i="16" l="1"/>
  <c r="P7" i="16"/>
  <c r="R7" i="16" s="1"/>
  <c r="AK10" i="11"/>
  <c r="AE17" i="3"/>
  <c r="AJ14" i="14"/>
  <c r="AV16" i="15"/>
  <c r="AU16" i="15"/>
  <c r="AK4" i="11"/>
  <c r="AP16" i="7"/>
  <c r="BH19" i="3"/>
  <c r="AQ21" i="12"/>
  <c r="AU15" i="14"/>
  <c r="AT15" i="14"/>
  <c r="AD35" i="7"/>
  <c r="AD42" i="7"/>
  <c r="AJ11" i="3"/>
  <c r="AD12" i="3"/>
  <c r="AD5" i="7"/>
  <c r="AD25" i="7"/>
  <c r="AO31" i="7"/>
  <c r="AE7" i="3"/>
  <c r="AJ10" i="3"/>
  <c r="AR19" i="3"/>
  <c r="AE28" i="3"/>
  <c r="AJ32" i="3"/>
  <c r="AD37" i="3"/>
  <c r="AE42" i="3"/>
  <c r="Y8" i="7"/>
  <c r="AG9" i="7"/>
  <c r="AK14" i="7"/>
  <c r="AP14" i="7" s="1"/>
  <c r="AS31" i="7"/>
  <c r="AD34" i="7"/>
  <c r="AA6" i="11"/>
  <c r="AE30" i="11"/>
  <c r="AJ30" i="11" s="1"/>
  <c r="AE34" i="11"/>
  <c r="AJ34" i="11" s="1"/>
  <c r="AD5" i="12"/>
  <c r="AH30" i="12"/>
  <c r="AD38" i="12"/>
  <c r="Z40" i="12"/>
  <c r="AE40" i="12" s="1"/>
  <c r="Z6" i="13"/>
  <c r="AD33" i="13"/>
  <c r="AI33" i="13" s="1"/>
  <c r="Z25" i="14"/>
  <c r="AI3" i="15"/>
  <c r="AU4" i="15"/>
  <c r="AM35" i="15"/>
  <c r="AM37" i="15"/>
  <c r="P3" i="16"/>
  <c r="P18" i="16"/>
  <c r="T31" i="16"/>
  <c r="AF20" i="3"/>
  <c r="AE20" i="3" s="1"/>
  <c r="AE30" i="3"/>
  <c r="AE37" i="3"/>
  <c r="AE22" i="3"/>
  <c r="AF32" i="3"/>
  <c r="AE32" i="3" s="1"/>
  <c r="N51" i="3"/>
  <c r="P51" i="3" s="1"/>
  <c r="AG6" i="7"/>
  <c r="AN14" i="3"/>
  <c r="AN18" i="3"/>
  <c r="AS18" i="3" s="1"/>
  <c r="AD28" i="3"/>
  <c r="AK6" i="7"/>
  <c r="AP6" i="7" s="1"/>
  <c r="AD8" i="7"/>
  <c r="BC15" i="7"/>
  <c r="BE15" i="7" s="1"/>
  <c r="AE4" i="11"/>
  <c r="AJ4" i="11" s="1"/>
  <c r="AW7" i="11"/>
  <c r="AK28" i="11"/>
  <c r="AM38" i="11"/>
  <c r="AM40" i="11"/>
  <c r="AH31" i="13"/>
  <c r="AD14" i="14"/>
  <c r="AI14" i="14" s="1"/>
  <c r="Z35" i="14"/>
  <c r="AI12" i="15"/>
  <c r="AM33" i="15"/>
  <c r="AQ4" i="7"/>
  <c r="AN10" i="3"/>
  <c r="AS10" i="3" s="1"/>
  <c r="AV16" i="3"/>
  <c r="AN17" i="3"/>
  <c r="AS17" i="3" s="1"/>
  <c r="AJ30" i="3"/>
  <c r="AE33" i="3"/>
  <c r="AJ37" i="3"/>
  <c r="AD42" i="3"/>
  <c r="AQ14" i="7"/>
  <c r="AO20" i="7"/>
  <c r="Y22" i="7"/>
  <c r="AS26" i="7"/>
  <c r="AG40" i="7"/>
  <c r="AA8" i="11"/>
  <c r="AS16" i="11"/>
  <c r="AE19" i="11"/>
  <c r="AA21" i="11"/>
  <c r="V13" i="12"/>
  <c r="AI31" i="13"/>
  <c r="Z26" i="14"/>
  <c r="AP7" i="15"/>
  <c r="AU7" i="15" s="1"/>
  <c r="L19" i="16"/>
  <c r="R19" i="16" s="1"/>
  <c r="T35" i="16"/>
  <c r="AE10" i="11"/>
  <c r="AJ10" i="11" s="1"/>
  <c r="AO21" i="12"/>
  <c r="AH40" i="12"/>
  <c r="AO15" i="13"/>
  <c r="AT15" i="13" s="1"/>
  <c r="AL31" i="13"/>
  <c r="Z28" i="14"/>
  <c r="AE17" i="15"/>
  <c r="AJ17" i="15" s="1"/>
  <c r="AE19" i="15"/>
  <c r="AJ19" i="15" s="1"/>
  <c r="AE36" i="15"/>
  <c r="AJ36" i="15" s="1"/>
  <c r="T25" i="16"/>
  <c r="T39" i="16"/>
  <c r="AY6" i="7"/>
  <c r="AK8" i="7"/>
  <c r="AG11" i="7"/>
  <c r="AQ22" i="7"/>
  <c r="AP34" i="7"/>
  <c r="AD43" i="7"/>
  <c r="AA17" i="11"/>
  <c r="AW21" i="11"/>
  <c r="AY21" i="11" s="1"/>
  <c r="AD13" i="12"/>
  <c r="V35" i="12"/>
  <c r="Z8" i="13"/>
  <c r="Z21" i="13"/>
  <c r="Z19" i="14"/>
  <c r="AF28" i="14"/>
  <c r="AT7" i="15"/>
  <c r="AV7" i="15" s="1"/>
  <c r="AK27" i="15"/>
  <c r="AI29" i="15"/>
  <c r="P19" i="16"/>
  <c r="T32" i="16"/>
  <c r="BH20" i="3"/>
  <c r="AX19" i="11"/>
  <c r="AS26" i="11"/>
  <c r="AX26" i="11" s="1"/>
  <c r="AK10" i="12"/>
  <c r="AP10" i="12" s="1"/>
  <c r="AD11" i="7"/>
  <c r="AJ7" i="3"/>
  <c r="AK28" i="7"/>
  <c r="AE12" i="11"/>
  <c r="AS14" i="11"/>
  <c r="AW26" i="11"/>
  <c r="AS28" i="11"/>
  <c r="AA35" i="11"/>
  <c r="AK13" i="12"/>
  <c r="AP13" i="12" s="1"/>
  <c r="Z31" i="12"/>
  <c r="AE31" i="12" s="1"/>
  <c r="Z39" i="12"/>
  <c r="AE39" i="12" s="1"/>
  <c r="AO4" i="13"/>
  <c r="AT4" i="13" s="1"/>
  <c r="Z13" i="13"/>
  <c r="AT17" i="15"/>
  <c r="AV17" i="15" s="1"/>
  <c r="AU19" i="15"/>
  <c r="AT21" i="15"/>
  <c r="AV21" i="15" s="1"/>
  <c r="AI36" i="15"/>
  <c r="AM38" i="15"/>
  <c r="AK29" i="7"/>
  <c r="AP29" i="7" s="1"/>
  <c r="AK5" i="7"/>
  <c r="AP5" i="7" s="1"/>
  <c r="Y16" i="7"/>
  <c r="AK20" i="7"/>
  <c r="AD24" i="7"/>
  <c r="BF15" i="3"/>
  <c r="BH15" i="3" s="1"/>
  <c r="BB19" i="3"/>
  <c r="BG19" i="3" s="1"/>
  <c r="AO29" i="7"/>
  <c r="BB15" i="3"/>
  <c r="BG15" i="3" s="1"/>
  <c r="BB22" i="3"/>
  <c r="BH22" i="3" s="1"/>
  <c r="AY17" i="7"/>
  <c r="BD17" i="7" s="1"/>
  <c r="AJ3" i="3"/>
  <c r="BB11" i="3"/>
  <c r="BG11" i="3" s="1"/>
  <c r="AV12" i="3"/>
  <c r="Y16" i="3"/>
  <c r="Y19" i="3"/>
  <c r="Y25" i="3"/>
  <c r="AJ33" i="3"/>
  <c r="AF38" i="3"/>
  <c r="AE38" i="3" s="1"/>
  <c r="AY8" i="7"/>
  <c r="Y10" i="7"/>
  <c r="AD27" i="7"/>
  <c r="AP33" i="7"/>
  <c r="AO34" i="7"/>
  <c r="AD41" i="7"/>
  <c r="Q5" i="10"/>
  <c r="AS10" i="11"/>
  <c r="AX10" i="11" s="1"/>
  <c r="AA31" i="11"/>
  <c r="AA33" i="11"/>
  <c r="AI37" i="11"/>
  <c r="V9" i="12"/>
  <c r="AO13" i="12"/>
  <c r="Z33" i="12"/>
  <c r="AE33" i="12" s="1"/>
  <c r="AD35" i="12"/>
  <c r="AD3" i="13"/>
  <c r="AI3" i="13" s="1"/>
  <c r="AH8" i="13"/>
  <c r="AD32" i="13"/>
  <c r="AI32" i="13" s="1"/>
  <c r="Z34" i="13"/>
  <c r="Z7" i="14"/>
  <c r="AT12" i="15"/>
  <c r="AV12" i="15" s="1"/>
  <c r="AU21" i="15"/>
  <c r="AM29" i="15"/>
  <c r="L6" i="16"/>
  <c r="Q6" i="16" s="1"/>
  <c r="T29" i="16"/>
  <c r="BE23" i="3"/>
  <c r="BB9" i="3"/>
  <c r="BH9" i="3" s="1"/>
  <c r="AE16" i="3"/>
  <c r="Y17" i="3"/>
  <c r="Y23" i="3"/>
  <c r="Y34" i="3"/>
  <c r="AK16" i="7"/>
  <c r="AW19" i="11"/>
  <c r="AD13" i="13"/>
  <c r="AI13" i="13" s="1"/>
  <c r="AO16" i="13"/>
  <c r="AT16" i="13" s="1"/>
  <c r="AH30" i="13"/>
  <c r="AE26" i="15"/>
  <c r="AP26" i="15" s="1"/>
  <c r="AE32" i="15"/>
  <c r="AM36" i="15"/>
  <c r="AI39" i="15"/>
  <c r="BH4" i="3"/>
  <c r="AA29" i="11"/>
  <c r="N56" i="11"/>
  <c r="O56" i="11" s="1"/>
  <c r="AK19" i="12"/>
  <c r="AP19" i="12" s="1"/>
  <c r="AI26" i="12"/>
  <c r="AH3" i="13"/>
  <c r="AJ3" i="13" s="1"/>
  <c r="AI30" i="13"/>
  <c r="Z21" i="14"/>
  <c r="AT19" i="15"/>
  <c r="AV19" i="15" s="1"/>
  <c r="Q21" i="16"/>
  <c r="T33" i="16"/>
  <c r="BE8" i="7"/>
  <c r="Y12" i="7"/>
  <c r="AG15" i="7"/>
  <c r="AH13" i="13"/>
  <c r="AD30" i="14"/>
  <c r="AI4" i="15"/>
  <c r="AK4" i="15" s="1"/>
  <c r="BB7" i="3"/>
  <c r="BB8" i="3"/>
  <c r="AE11" i="3"/>
  <c r="Y13" i="3"/>
  <c r="AD17" i="3"/>
  <c r="AD20" i="3"/>
  <c r="AD23" i="3"/>
  <c r="AJ29" i="3"/>
  <c r="AJ36" i="3"/>
  <c r="Y39" i="3"/>
  <c r="AJ43" i="3"/>
  <c r="AY3" i="7"/>
  <c r="BD3" i="7" s="1"/>
  <c r="Y9" i="7"/>
  <c r="AD12" i="7"/>
  <c r="Y14" i="7"/>
  <c r="Y18" i="7"/>
  <c r="Y20" i="7"/>
  <c r="AG21" i="7"/>
  <c r="Y23" i="7"/>
  <c r="AK27" i="7"/>
  <c r="AS33" i="7"/>
  <c r="AI5" i="11"/>
  <c r="AE27" i="11"/>
  <c r="AS29" i="11"/>
  <c r="AY29" i="11" s="1"/>
  <c r="AM35" i="11"/>
  <c r="V7" i="12"/>
  <c r="V17" i="12"/>
  <c r="V30" i="12"/>
  <c r="AH37" i="12"/>
  <c r="Z17" i="13"/>
  <c r="AD27" i="14"/>
  <c r="AO27" i="14" s="1"/>
  <c r="AI26" i="15"/>
  <c r="AN26" i="15" s="1"/>
  <c r="AJ39" i="15"/>
  <c r="L14" i="16"/>
  <c r="T37" i="16"/>
  <c r="AP32" i="7"/>
  <c r="AJ4" i="3"/>
  <c r="AE5" i="3"/>
  <c r="Y12" i="3"/>
  <c r="AE13" i="3"/>
  <c r="AJ19" i="3"/>
  <c r="AD32" i="3"/>
  <c r="AF34" i="3"/>
  <c r="AE34" i="3" s="1"/>
  <c r="AD41" i="3"/>
  <c r="AD14" i="7"/>
  <c r="AO15" i="7"/>
  <c r="AE7" i="11"/>
  <c r="AJ7" i="11" s="1"/>
  <c r="AA11" i="11"/>
  <c r="AE20" i="11"/>
  <c r="AM31" i="11"/>
  <c r="AE43" i="11"/>
  <c r="AJ43" i="11" s="1"/>
  <c r="AE26" i="12"/>
  <c r="AH39" i="12"/>
  <c r="AD13" i="14"/>
  <c r="Z40" i="14"/>
  <c r="AJ26" i="15"/>
  <c r="AE37" i="15"/>
  <c r="AJ37" i="15" s="1"/>
  <c r="AM39" i="15"/>
  <c r="T30" i="16"/>
  <c r="AO32" i="7"/>
  <c r="AP7" i="12"/>
  <c r="AS23" i="11"/>
  <c r="AX23" i="11" s="1"/>
  <c r="AA36" i="11"/>
  <c r="V5" i="12"/>
  <c r="AK7" i="12"/>
  <c r="V12" i="12"/>
  <c r="AO17" i="12"/>
  <c r="AQ17" i="12" s="1"/>
  <c r="AD32" i="12"/>
  <c r="V38" i="12"/>
  <c r="AO5" i="13"/>
  <c r="AH14" i="13"/>
  <c r="AL30" i="14"/>
  <c r="AK18" i="15"/>
  <c r="AI35" i="15"/>
  <c r="O26" i="16"/>
  <c r="T34" i="16"/>
  <c r="AS5" i="11"/>
  <c r="AY5" i="11" s="1"/>
  <c r="AD30" i="12"/>
  <c r="AU3" i="13"/>
  <c r="T24" i="16"/>
  <c r="T26" i="16" s="1"/>
  <c r="AJ38" i="3"/>
  <c r="AD13" i="3"/>
  <c r="AE14" i="3"/>
  <c r="AJ15" i="3"/>
  <c r="AO10" i="7"/>
  <c r="AD29" i="7"/>
  <c r="AA30" i="11"/>
  <c r="AE40" i="11"/>
  <c r="AK23" i="12"/>
  <c r="AP23" i="12" s="1"/>
  <c r="AT4" i="15"/>
  <c r="AV4" i="15" s="1"/>
  <c r="AT18" i="15"/>
  <c r="AI33" i="15"/>
  <c r="S26" i="16"/>
  <c r="T38" i="16"/>
  <c r="Y39" i="1"/>
  <c r="Y37" i="1"/>
  <c r="AE27" i="1"/>
  <c r="Y30" i="1"/>
  <c r="AE36" i="1"/>
  <c r="Y43" i="1"/>
  <c r="AE22" i="1"/>
  <c r="Y6" i="1"/>
  <c r="AE9" i="1"/>
  <c r="AE13" i="1"/>
  <c r="AE8" i="1"/>
  <c r="AE20" i="1"/>
  <c r="AE23" i="1"/>
  <c r="AE26" i="1"/>
  <c r="AE29" i="1"/>
  <c r="AE32" i="1"/>
  <c r="AE35" i="1"/>
  <c r="AE41" i="1"/>
  <c r="AE19" i="1"/>
  <c r="AE7" i="1"/>
  <c r="Y25" i="1"/>
  <c r="AE28" i="1"/>
  <c r="Y28" i="1"/>
  <c r="Y42" i="1"/>
  <c r="AF30" i="1"/>
  <c r="AE30" i="1" s="1"/>
  <c r="Y10" i="1"/>
  <c r="Y27" i="1"/>
  <c r="Y3" i="1"/>
  <c r="Y34" i="1"/>
  <c r="Y40" i="1"/>
  <c r="Y21" i="1"/>
  <c r="AF25" i="1"/>
  <c r="AE25" i="1" s="1"/>
  <c r="Y9" i="1"/>
  <c r="AF6" i="1"/>
  <c r="AE6" i="1" s="1"/>
  <c r="AF37" i="1"/>
  <c r="AE37" i="1" s="1"/>
  <c r="Y7" i="1"/>
  <c r="Y18" i="1"/>
  <c r="AE15" i="1"/>
  <c r="AE18" i="1"/>
  <c r="Y35" i="1"/>
  <c r="AF39" i="1"/>
  <c r="AE39" i="1" s="1"/>
  <c r="AE40" i="1"/>
  <c r="Y19" i="1"/>
  <c r="Y24" i="1"/>
  <c r="Y31" i="1"/>
  <c r="AE42" i="1"/>
  <c r="AE33" i="1"/>
  <c r="AE21" i="1"/>
  <c r="Y36" i="1"/>
  <c r="AE38" i="1"/>
  <c r="AE31" i="1"/>
  <c r="Y16" i="1"/>
  <c r="Y22" i="1"/>
  <c r="AE43" i="1"/>
  <c r="Y11" i="1"/>
  <c r="AE16" i="1"/>
  <c r="AE34" i="1"/>
  <c r="Y41" i="1"/>
  <c r="AE10" i="1"/>
  <c r="AE3" i="1"/>
  <c r="Y8" i="1"/>
  <c r="AD15" i="1"/>
  <c r="AD33" i="1"/>
  <c r="AJ10" i="1"/>
  <c r="AD8" i="1"/>
  <c r="AJ7" i="1"/>
  <c r="AD6" i="1"/>
  <c r="AJ15" i="1"/>
  <c r="AD38" i="1"/>
  <c r="AJ40" i="1"/>
  <c r="AD18" i="1"/>
  <c r="AD36" i="1"/>
  <c r="BF4" i="1"/>
  <c r="AJ28" i="1"/>
  <c r="BB7" i="1"/>
  <c r="BG7" i="1" s="1"/>
  <c r="AV8" i="1"/>
  <c r="AV13" i="1"/>
  <c r="AJ4" i="1"/>
  <c r="AJ41" i="1"/>
  <c r="AJ27" i="1"/>
  <c r="AJ42" i="1"/>
  <c r="AJ9" i="1"/>
  <c r="AD21" i="1"/>
  <c r="AD26" i="1"/>
  <c r="AJ35" i="1"/>
  <c r="AJ37" i="1"/>
  <c r="AD5" i="1"/>
  <c r="AD29" i="1"/>
  <c r="AD4" i="1"/>
  <c r="AJ36" i="1"/>
  <c r="AJ43" i="1"/>
  <c r="AJ11" i="1"/>
  <c r="AJ16" i="1"/>
  <c r="AJ13" i="1"/>
  <c r="AJ17" i="1"/>
  <c r="AJ21" i="1"/>
  <c r="AD24" i="1"/>
  <c r="AJ5" i="1"/>
  <c r="AD11" i="1"/>
  <c r="AD16" i="1"/>
  <c r="AJ19" i="1"/>
  <c r="AD27" i="1"/>
  <c r="AJ38" i="1"/>
  <c r="AD43" i="1"/>
  <c r="AD20" i="1"/>
  <c r="AD32" i="1"/>
  <c r="AJ34" i="1"/>
  <c r="AD39" i="1"/>
  <c r="BF10" i="1"/>
  <c r="AR8" i="1"/>
  <c r="AV12" i="1"/>
  <c r="AV17" i="1"/>
  <c r="AT5" i="1"/>
  <c r="AU5" i="1"/>
  <c r="BB9" i="1"/>
  <c r="BG9" i="1" s="1"/>
  <c r="BB13" i="1"/>
  <c r="BG13" i="1" s="1"/>
  <c r="P44" i="1"/>
  <c r="T44" i="1" s="1"/>
  <c r="AD34" i="1"/>
  <c r="AJ26" i="1"/>
  <c r="AD22" i="1"/>
  <c r="AJ31" i="1"/>
  <c r="AJ29" i="1"/>
  <c r="AD42" i="1"/>
  <c r="AJ22" i="1"/>
  <c r="AD10" i="1"/>
  <c r="AJ25" i="1"/>
  <c r="AD7" i="1"/>
  <c r="AD9" i="1"/>
  <c r="AJ12" i="1"/>
  <c r="AD23" i="1"/>
  <c r="AJ32" i="1"/>
  <c r="BC15" i="1"/>
  <c r="BB12" i="1"/>
  <c r="BG12" i="1" s="1"/>
  <c r="AD28" i="1"/>
  <c r="AJ6" i="1"/>
  <c r="BB10" i="1"/>
  <c r="BG10" i="1" s="1"/>
  <c r="AJ24" i="1"/>
  <c r="AD35" i="1"/>
  <c r="AD41" i="1"/>
  <c r="BF7" i="1"/>
  <c r="AD37" i="1"/>
  <c r="AD40" i="1"/>
  <c r="AD13" i="1"/>
  <c r="AJ14" i="1"/>
  <c r="AJ33" i="1"/>
  <c r="AD31" i="1"/>
  <c r="AJ39" i="1"/>
  <c r="BB14" i="1"/>
  <c r="BG14" i="1" s="1"/>
  <c r="AJ23" i="1"/>
  <c r="AD19" i="1"/>
  <c r="AJ8" i="1"/>
  <c r="BD15" i="1"/>
  <c r="AD3" i="1"/>
  <c r="AD12" i="1"/>
  <c r="AJ18" i="1"/>
  <c r="AD25" i="1"/>
  <c r="AR3" i="1"/>
  <c r="AN3" i="1"/>
  <c r="AX3" i="1" s="1"/>
  <c r="BB3" i="1"/>
  <c r="BG3" i="1" s="1"/>
  <c r="BB4" i="1"/>
  <c r="BG4" i="1" s="1"/>
  <c r="BB6" i="1"/>
  <c r="BG6" i="1" s="1"/>
  <c r="BF8" i="1"/>
  <c r="BF9" i="1"/>
  <c r="BF6" i="1"/>
  <c r="AV9" i="1"/>
  <c r="AV10" i="1"/>
  <c r="AV7" i="1"/>
  <c r="AV14" i="1"/>
  <c r="AV4" i="1"/>
  <c r="AR17" i="1"/>
  <c r="AV11" i="1"/>
  <c r="AR10" i="1"/>
  <c r="AV16" i="1"/>
  <c r="AN14" i="1"/>
  <c r="AS14" i="1" s="1"/>
  <c r="AN15" i="1"/>
  <c r="AS15" i="1" s="1"/>
  <c r="AV15" i="1"/>
  <c r="AN11" i="1"/>
  <c r="AS11" i="1" s="1"/>
  <c r="AN17" i="1"/>
  <c r="AS17" i="1" s="1"/>
  <c r="AN16" i="1"/>
  <c r="AS16" i="1" s="1"/>
  <c r="AN13" i="1"/>
  <c r="AS13" i="1" s="1"/>
  <c r="AN7" i="1"/>
  <c r="AS7" i="1" s="1"/>
  <c r="AR12" i="1"/>
  <c r="AX5" i="3"/>
  <c r="AF11" i="1"/>
  <c r="AE11" i="1" s="1"/>
  <c r="Y33" i="1"/>
  <c r="BB6" i="3"/>
  <c r="BB13" i="3"/>
  <c r="BG13" i="3"/>
  <c r="BF13" i="3"/>
  <c r="BH13" i="3" s="1"/>
  <c r="BF14" i="3"/>
  <c r="BB14" i="3"/>
  <c r="BB23" i="3" s="1"/>
  <c r="Y13" i="1"/>
  <c r="AR15" i="1"/>
  <c r="Y26" i="1"/>
  <c r="BH6" i="3"/>
  <c r="AR8" i="3"/>
  <c r="AS9" i="3"/>
  <c r="AR9" i="3"/>
  <c r="Y5" i="1"/>
  <c r="AN10" i="1"/>
  <c r="AS10" i="1" s="1"/>
  <c r="AN8" i="1"/>
  <c r="AS8" i="1" s="1"/>
  <c r="AW3" i="3"/>
  <c r="BF18" i="3"/>
  <c r="BB18" i="3"/>
  <c r="BG18" i="3" s="1"/>
  <c r="AS3" i="3"/>
  <c r="BC4" i="7"/>
  <c r="BE4" i="7" s="1"/>
  <c r="BD4" i="7"/>
  <c r="AR16" i="1"/>
  <c r="AF24" i="1"/>
  <c r="AE24" i="1" s="1"/>
  <c r="BG6" i="3"/>
  <c r="BG7" i="3"/>
  <c r="Y15" i="3"/>
  <c r="AG15" i="3"/>
  <c r="AE15" i="3" s="1"/>
  <c r="BF17" i="3"/>
  <c r="BH17" i="3" s="1"/>
  <c r="BG17" i="3"/>
  <c r="AF21" i="3"/>
  <c r="AE21" i="3" s="1"/>
  <c r="Y21" i="3"/>
  <c r="AU5" i="3"/>
  <c r="AY5" i="3" s="1"/>
  <c r="AY3" i="3"/>
  <c r="Y7" i="3"/>
  <c r="AR10" i="3"/>
  <c r="BH16" i="3"/>
  <c r="Y35" i="3"/>
  <c r="AF35" i="3"/>
  <c r="AE35" i="3" s="1"/>
  <c r="P49" i="3"/>
  <c r="T49" i="3" s="1"/>
  <c r="Y23" i="1"/>
  <c r="BF8" i="3"/>
  <c r="BH8" i="3" s="1"/>
  <c r="BG8" i="3"/>
  <c r="Y33" i="3"/>
  <c r="Y10" i="3"/>
  <c r="AF10" i="3"/>
  <c r="AE10" i="3" s="1"/>
  <c r="AN12" i="1"/>
  <c r="Y14" i="1"/>
  <c r="AF14" i="1"/>
  <c r="AE14" i="1" s="1"/>
  <c r="Y3" i="3"/>
  <c r="AX3" i="3"/>
  <c r="BH7" i="3"/>
  <c r="AF18" i="3"/>
  <c r="AE18" i="3" s="1"/>
  <c r="Y18" i="3"/>
  <c r="AR4" i="1"/>
  <c r="BE15" i="1"/>
  <c r="BF3" i="1"/>
  <c r="AR11" i="1"/>
  <c r="BF13" i="1"/>
  <c r="BF14" i="1"/>
  <c r="AQ5" i="1"/>
  <c r="AE3" i="3"/>
  <c r="BG5" i="3"/>
  <c r="AD7" i="3"/>
  <c r="AF8" i="3"/>
  <c r="AE8" i="3" s="1"/>
  <c r="Y8" i="3"/>
  <c r="AF31" i="3"/>
  <c r="AE31" i="3" s="1"/>
  <c r="Y31" i="3"/>
  <c r="AD14" i="1"/>
  <c r="Y15" i="1"/>
  <c r="Y17" i="1"/>
  <c r="AF17" i="1"/>
  <c r="AE17" i="1" s="1"/>
  <c r="Y32" i="1"/>
  <c r="BC23" i="3"/>
  <c r="AN9" i="1"/>
  <c r="AS9" i="1" s="1"/>
  <c r="AO5" i="1"/>
  <c r="BB8" i="1"/>
  <c r="BG8" i="1" s="1"/>
  <c r="BD23" i="3"/>
  <c r="Y6" i="3"/>
  <c r="AF6" i="3"/>
  <c r="AE6" i="3" s="1"/>
  <c r="AD8" i="3"/>
  <c r="BG10" i="3"/>
  <c r="BF10" i="3"/>
  <c r="BH10" i="3" s="1"/>
  <c r="AJ35" i="3"/>
  <c r="Y40" i="3"/>
  <c r="AG40" i="3"/>
  <c r="AE40" i="3" s="1"/>
  <c r="Y4" i="1"/>
  <c r="AG4" i="1"/>
  <c r="AE4" i="1" s="1"/>
  <c r="AP5" i="1"/>
  <c r="BB11" i="1"/>
  <c r="BG11" i="1" s="1"/>
  <c r="AD17" i="1"/>
  <c r="Y20" i="1"/>
  <c r="AW4" i="3"/>
  <c r="BB21" i="3"/>
  <c r="BG21" i="3" s="1"/>
  <c r="BF21" i="3"/>
  <c r="AR15" i="3"/>
  <c r="AN15" i="3"/>
  <c r="AS15" i="3" s="1"/>
  <c r="AQ6" i="7"/>
  <c r="AN16" i="3"/>
  <c r="AS16" i="3"/>
  <c r="Y43" i="3"/>
  <c r="AF43" i="3"/>
  <c r="AE43" i="3" s="1"/>
  <c r="AS14" i="3"/>
  <c r="AR14" i="3"/>
  <c r="Y29" i="1"/>
  <c r="BH3" i="3"/>
  <c r="Y11" i="3"/>
  <c r="AR13" i="1"/>
  <c r="AX4" i="3"/>
  <c r="AV4" i="3"/>
  <c r="AV5" i="3" s="1"/>
  <c r="AS13" i="3"/>
  <c r="AV3" i="1"/>
  <c r="AR7" i="1"/>
  <c r="BF11" i="1"/>
  <c r="BF12" i="1"/>
  <c r="AS7" i="3"/>
  <c r="AR7" i="3"/>
  <c r="AR9" i="1"/>
  <c r="AS8" i="3"/>
  <c r="AV13" i="3"/>
  <c r="AR16" i="3"/>
  <c r="AU20" i="7"/>
  <c r="AP20" i="7"/>
  <c r="AR14" i="1"/>
  <c r="AN4" i="1"/>
  <c r="AX4" i="1" s="1"/>
  <c r="AE5" i="1"/>
  <c r="BB5" i="1"/>
  <c r="BG5" i="1" s="1"/>
  <c r="AE12" i="1"/>
  <c r="Y38" i="1"/>
  <c r="BG4" i="3"/>
  <c r="BH11" i="3"/>
  <c r="BB12" i="3"/>
  <c r="BG12" i="3" s="1"/>
  <c r="BF12" i="3"/>
  <c r="AO3" i="7"/>
  <c r="AK3" i="7"/>
  <c r="AP3" i="7" s="1"/>
  <c r="AR13" i="3"/>
  <c r="AJ22" i="3"/>
  <c r="Y29" i="3"/>
  <c r="AJ41" i="3"/>
  <c r="BC5" i="7"/>
  <c r="AK25" i="7"/>
  <c r="AP25" i="7"/>
  <c r="AO25" i="7"/>
  <c r="U5" i="10"/>
  <c r="V3" i="10"/>
  <c r="V5" i="10" s="1"/>
  <c r="AY14" i="11"/>
  <c r="AO5" i="3"/>
  <c r="AS5" i="3" s="1"/>
  <c r="AD38" i="3"/>
  <c r="BD6" i="7"/>
  <c r="AO11" i="7"/>
  <c r="BC16" i="7"/>
  <c r="BE16" i="7" s="1"/>
  <c r="AE3" i="11"/>
  <c r="AJ3" i="11" s="1"/>
  <c r="AI3" i="11"/>
  <c r="AK3" i="11" s="1"/>
  <c r="AY6" i="11"/>
  <c r="AK13" i="7"/>
  <c r="AP13" i="7" s="1"/>
  <c r="AO13" i="7"/>
  <c r="AA9" i="11"/>
  <c r="AS12" i="11"/>
  <c r="AX12" i="11" s="1"/>
  <c r="AY22" i="11"/>
  <c r="AE37" i="12"/>
  <c r="AJ34" i="3"/>
  <c r="BC14" i="7"/>
  <c r="BE14" i="7" s="1"/>
  <c r="AK24" i="7"/>
  <c r="AP24" i="7" s="1"/>
  <c r="AO24" i="7"/>
  <c r="AW3" i="11"/>
  <c r="AS3" i="11"/>
  <c r="AX3" i="11" s="1"/>
  <c r="BC13" i="7"/>
  <c r="AY13" i="7"/>
  <c r="BD13" i="7" s="1"/>
  <c r="AN12" i="3"/>
  <c r="AS12" i="3" s="1"/>
  <c r="AO21" i="7"/>
  <c r="AK21" i="7"/>
  <c r="AK22" i="7" s="1"/>
  <c r="AD24" i="3"/>
  <c r="AD7" i="7"/>
  <c r="AP9" i="7"/>
  <c r="AD19" i="3"/>
  <c r="AO8" i="7"/>
  <c r="AQ8" i="7" s="1"/>
  <c r="AP8" i="7"/>
  <c r="AD15" i="7"/>
  <c r="C5" i="10"/>
  <c r="H5" i="10" s="1"/>
  <c r="AY7" i="11"/>
  <c r="AX7" i="11"/>
  <c r="AO26" i="11"/>
  <c r="AN26" i="11"/>
  <c r="AJ40" i="11"/>
  <c r="AE26" i="3"/>
  <c r="AT20" i="7"/>
  <c r="AX27" i="11"/>
  <c r="BG16" i="3"/>
  <c r="BF5" i="1"/>
  <c r="Y12" i="1"/>
  <c r="AJ13" i="3"/>
  <c r="AF19" i="3"/>
  <c r="AE19" i="3" s="1"/>
  <c r="AJ24" i="3"/>
  <c r="Y41" i="3"/>
  <c r="AF41" i="3"/>
  <c r="AE41" i="3" s="1"/>
  <c r="N3" i="10"/>
  <c r="BC7" i="7"/>
  <c r="AY7" i="7"/>
  <c r="BD7" i="7" s="1"/>
  <c r="AN22" i="7"/>
  <c r="AJ44" i="11"/>
  <c r="AR18" i="3"/>
  <c r="AY5" i="7"/>
  <c r="BD5" i="7" s="1"/>
  <c r="BD8" i="7"/>
  <c r="AD13" i="7"/>
  <c r="AQ15" i="7"/>
  <c r="Y27" i="3"/>
  <c r="AF36" i="3"/>
  <c r="AE36" i="3" s="1"/>
  <c r="Y36" i="3"/>
  <c r="AV20" i="7"/>
  <c r="AS4" i="11"/>
  <c r="AX4" i="11"/>
  <c r="AW4" i="11"/>
  <c r="AO26" i="7"/>
  <c r="AO27" i="7"/>
  <c r="AO28" i="7"/>
  <c r="AX13" i="11"/>
  <c r="AW13" i="11"/>
  <c r="AY13" i="11" s="1"/>
  <c r="AO4" i="12"/>
  <c r="AK4" i="12"/>
  <c r="AP4" i="12" s="1"/>
  <c r="AK6" i="12"/>
  <c r="AP6" i="12" s="1"/>
  <c r="AI8" i="14"/>
  <c r="AH8" i="14"/>
  <c r="AT10" i="15"/>
  <c r="AP10" i="15"/>
  <c r="AU10" i="15" s="1"/>
  <c r="AK12" i="15"/>
  <c r="AP26" i="7"/>
  <c r="AP27" i="7"/>
  <c r="AP28" i="7"/>
  <c r="AP30" i="7"/>
  <c r="AP31" i="7"/>
  <c r="AA16" i="11"/>
  <c r="AX17" i="11"/>
  <c r="AW17" i="11"/>
  <c r="AY17" i="11" s="1"/>
  <c r="AX25" i="11"/>
  <c r="AW25" i="11"/>
  <c r="AY25" i="11" s="1"/>
  <c r="AY26" i="11"/>
  <c r="AP22" i="12"/>
  <c r="AO22" i="12"/>
  <c r="AQ22" i="12" s="1"/>
  <c r="Z37" i="12"/>
  <c r="AD40" i="12"/>
  <c r="AT5" i="13"/>
  <c r="AS5" i="13"/>
  <c r="AU5" i="13" s="1"/>
  <c r="AD9" i="13"/>
  <c r="AI9" i="13" s="1"/>
  <c r="AU15" i="13"/>
  <c r="P6" i="16"/>
  <c r="AE3" i="12"/>
  <c r="AD3" i="12"/>
  <c r="AF3" i="12" s="1"/>
  <c r="AO8" i="12"/>
  <c r="AK8" i="12"/>
  <c r="AP8" i="12" s="1"/>
  <c r="Z10" i="12"/>
  <c r="AE10" i="12" s="1"/>
  <c r="AI13" i="14"/>
  <c r="AH13" i="14"/>
  <c r="AJ13" i="14" s="1"/>
  <c r="AI31" i="14"/>
  <c r="AU8" i="15"/>
  <c r="AT8" i="15"/>
  <c r="AP8" i="15"/>
  <c r="AO26" i="15"/>
  <c r="AM26" i="15"/>
  <c r="L13" i="16"/>
  <c r="Q13" i="16" s="1"/>
  <c r="AW9" i="11"/>
  <c r="AY9" i="11" s="1"/>
  <c r="AJ12" i="11"/>
  <c r="AI12" i="11"/>
  <c r="AK12" i="11" s="1"/>
  <c r="AE31" i="11"/>
  <c r="AJ31" i="11" s="1"/>
  <c r="AI42" i="11"/>
  <c r="AE42" i="11"/>
  <c r="AJ42" i="11" s="1"/>
  <c r="V14" i="12"/>
  <c r="AO20" i="12"/>
  <c r="AK20" i="12"/>
  <c r="AP20" i="12" s="1"/>
  <c r="AH35" i="12"/>
  <c r="AL27" i="13"/>
  <c r="AL28" i="13" s="1"/>
  <c r="Z40" i="13"/>
  <c r="AH4" i="14"/>
  <c r="AD4" i="14"/>
  <c r="AI4" i="14" s="1"/>
  <c r="AJ16" i="11"/>
  <c r="AI16" i="11"/>
  <c r="AK16" i="11" s="1"/>
  <c r="AW23" i="11"/>
  <c r="AD26" i="13"/>
  <c r="AO27" i="13"/>
  <c r="AI6" i="15"/>
  <c r="AE6" i="15"/>
  <c r="AJ6" i="15"/>
  <c r="AI19" i="15"/>
  <c r="AA26" i="11"/>
  <c r="AF28" i="11"/>
  <c r="AJ38" i="11"/>
  <c r="AI38" i="11"/>
  <c r="AM47" i="11"/>
  <c r="AK3" i="12"/>
  <c r="AP3" i="12" s="1"/>
  <c r="AO12" i="12"/>
  <c r="AK12" i="12"/>
  <c r="AP12" i="12" s="1"/>
  <c r="Z14" i="12"/>
  <c r="AE14" i="12" s="1"/>
  <c r="AK18" i="12"/>
  <c r="AQ18" i="12" s="1"/>
  <c r="V23" i="12"/>
  <c r="AB28" i="12"/>
  <c r="Z34" i="12"/>
  <c r="AE34" i="12" s="1"/>
  <c r="AD37" i="12"/>
  <c r="AI4" i="13"/>
  <c r="AH4" i="13"/>
  <c r="AJ4" i="13" s="1"/>
  <c r="AH9" i="13"/>
  <c r="AJ30" i="15"/>
  <c r="O51" i="7"/>
  <c r="AY8" i="11"/>
  <c r="AY19" i="11"/>
  <c r="AX29" i="11"/>
  <c r="AS16" i="13"/>
  <c r="AH9" i="14"/>
  <c r="AD9" i="14"/>
  <c r="AI9" i="14" s="1"/>
  <c r="AE11" i="15"/>
  <c r="AJ11" i="15" s="1"/>
  <c r="AU17" i="15"/>
  <c r="AE25" i="15"/>
  <c r="AK11" i="7"/>
  <c r="AP11" i="7" s="1"/>
  <c r="AY14" i="7"/>
  <c r="BD14" i="7" s="1"/>
  <c r="AS20" i="7"/>
  <c r="AS22" i="7" s="1"/>
  <c r="N4" i="10"/>
  <c r="S4" i="10" s="1"/>
  <c r="AE11" i="11"/>
  <c r="AK11" i="11" s="1"/>
  <c r="AX14" i="11"/>
  <c r="AE18" i="11"/>
  <c r="AK18" i="11" s="1"/>
  <c r="AI31" i="11"/>
  <c r="Z24" i="14"/>
  <c r="AU3" i="15"/>
  <c r="AU6" i="15"/>
  <c r="AT6" i="15"/>
  <c r="AV6" i="15" s="1"/>
  <c r="AP6" i="15"/>
  <c r="AP9" i="15"/>
  <c r="AU9" i="15" s="1"/>
  <c r="AI25" i="15"/>
  <c r="O5" i="10"/>
  <c r="AI6" i="11"/>
  <c r="AE6" i="11"/>
  <c r="AJ6" i="11" s="1"/>
  <c r="AW12" i="11"/>
  <c r="AJ26" i="11"/>
  <c r="AF14" i="12"/>
  <c r="AH26" i="12"/>
  <c r="AH28" i="12" s="1"/>
  <c r="AH32" i="12"/>
  <c r="AD14" i="13"/>
  <c r="AH26" i="13"/>
  <c r="L3" i="16"/>
  <c r="Q3" i="16" s="1"/>
  <c r="Q17" i="16"/>
  <c r="AX16" i="11"/>
  <c r="AW16" i="11"/>
  <c r="AY16" i="11" s="1"/>
  <c r="AO16" i="12"/>
  <c r="AK16" i="12"/>
  <c r="AI3" i="14"/>
  <c r="AH3" i="14"/>
  <c r="AJ3" i="14" s="1"/>
  <c r="AK11" i="15"/>
  <c r="AR17" i="3"/>
  <c r="BC6" i="7"/>
  <c r="BE6" i="7" s="1"/>
  <c r="AO9" i="7"/>
  <c r="AQ9" i="7" s="1"/>
  <c r="AK10" i="7"/>
  <c r="AP10" i="7" s="1"/>
  <c r="AO16" i="7"/>
  <c r="AQ16" i="7" s="1"/>
  <c r="AG17" i="7"/>
  <c r="AY18" i="7"/>
  <c r="AE5" i="11"/>
  <c r="AJ5" i="11" s="1"/>
  <c r="AM27" i="11"/>
  <c r="AM28" i="11" s="1"/>
  <c r="AJ35" i="11"/>
  <c r="AI35" i="11"/>
  <c r="AE46" i="11"/>
  <c r="AJ46" i="11" s="1"/>
  <c r="AQ23" i="12"/>
  <c r="AK28" i="13"/>
  <c r="AJ28" i="13"/>
  <c r="Z18" i="14"/>
  <c r="R3" i="16"/>
  <c r="Y21" i="7"/>
  <c r="R4" i="10"/>
  <c r="R5" i="10" s="1"/>
  <c r="AJ11" i="11"/>
  <c r="AS22" i="11"/>
  <c r="AX22" i="11" s="1"/>
  <c r="AX24" i="11"/>
  <c r="AE37" i="11"/>
  <c r="AJ37" i="11" s="1"/>
  <c r="AI40" i="11"/>
  <c r="O54" i="11"/>
  <c r="AK5" i="12"/>
  <c r="AP5" i="12" s="1"/>
  <c r="AO7" i="12"/>
  <c r="AQ7" i="12" s="1"/>
  <c r="AJ26" i="12"/>
  <c r="AF28" i="12"/>
  <c r="AH32" i="14"/>
  <c r="AD32" i="14"/>
  <c r="AI32" i="14" s="1"/>
  <c r="AT9" i="15"/>
  <c r="AV9" i="15" s="1"/>
  <c r="AP11" i="15"/>
  <c r="AU11" i="15" s="1"/>
  <c r="Q4" i="16"/>
  <c r="AE9" i="11"/>
  <c r="AI20" i="11"/>
  <c r="AL28" i="11"/>
  <c r="AP26" i="11"/>
  <c r="AS27" i="11"/>
  <c r="AM33" i="11"/>
  <c r="Z15" i="12"/>
  <c r="AE15" i="12" s="1"/>
  <c r="AP16" i="12"/>
  <c r="AK26" i="12"/>
  <c r="AI8" i="13"/>
  <c r="AO3" i="14"/>
  <c r="AT3" i="14" s="1"/>
  <c r="AI30" i="14"/>
  <c r="AH30" i="14"/>
  <c r="AJ5" i="15"/>
  <c r="AI5" i="15"/>
  <c r="AK5" i="15" s="1"/>
  <c r="AE38" i="15"/>
  <c r="AJ38" i="15" s="1"/>
  <c r="R18" i="16"/>
  <c r="Q25" i="16"/>
  <c r="AX28" i="11"/>
  <c r="AW28" i="11"/>
  <c r="AY28" i="11" s="1"/>
  <c r="AP21" i="12"/>
  <c r="AT17" i="13"/>
  <c r="AS17" i="13"/>
  <c r="AU17" i="13" s="1"/>
  <c r="AL27" i="14"/>
  <c r="AL28" i="14" s="1"/>
  <c r="AJ28" i="14"/>
  <c r="AE13" i="15"/>
  <c r="AJ13" i="15" s="1"/>
  <c r="Q11" i="16"/>
  <c r="Y26" i="3"/>
  <c r="BC9" i="7"/>
  <c r="BE9" i="7" s="1"/>
  <c r="Y15" i="7"/>
  <c r="AX11" i="11"/>
  <c r="AW11" i="11"/>
  <c r="AY11" i="11" s="1"/>
  <c r="AI13" i="11"/>
  <c r="AE13" i="11"/>
  <c r="AJ13" i="11"/>
  <c r="AY24" i="11"/>
  <c r="AH26" i="14"/>
  <c r="AD26" i="14"/>
  <c r="AO26" i="14" s="1"/>
  <c r="Z39" i="14"/>
  <c r="Q32" i="16"/>
  <c r="O49" i="7"/>
  <c r="S49" i="7" s="1"/>
  <c r="AX15" i="11"/>
  <c r="AW15" i="11"/>
  <c r="AY15" i="11" s="1"/>
  <c r="AI17" i="11"/>
  <c r="AE17" i="11"/>
  <c r="AJ17" i="11" s="1"/>
  <c r="AS20" i="11"/>
  <c r="AX20" i="11" s="1"/>
  <c r="AJ32" i="11"/>
  <c r="AI32" i="11"/>
  <c r="AE41" i="11"/>
  <c r="AJ41" i="11" s="1"/>
  <c r="AD4" i="12"/>
  <c r="Z4" i="12"/>
  <c r="AE4" i="12" s="1"/>
  <c r="AO19" i="12"/>
  <c r="AI10" i="15"/>
  <c r="AE10" i="15"/>
  <c r="AJ10" i="15" s="1"/>
  <c r="AM31" i="15"/>
  <c r="AJ34" i="15"/>
  <c r="Q5" i="16"/>
  <c r="AJ19" i="11"/>
  <c r="AI19" i="11"/>
  <c r="AK19" i="11" s="1"/>
  <c r="AW27" i="11"/>
  <c r="AI44" i="11"/>
  <c r="AE44" i="11"/>
  <c r="AD15" i="12"/>
  <c r="AD27" i="12"/>
  <c r="Z27" i="12"/>
  <c r="Z28" i="12" s="1"/>
  <c r="AK28" i="12" s="1"/>
  <c r="AS3" i="14"/>
  <c r="AU5" i="15"/>
  <c r="AT5" i="15"/>
  <c r="AP5" i="15"/>
  <c r="AI34" i="15"/>
  <c r="AE34" i="15"/>
  <c r="Q12" i="16"/>
  <c r="AW10" i="11"/>
  <c r="AY10" i="11" s="1"/>
  <c r="AD8" i="12"/>
  <c r="Z8" i="12"/>
  <c r="AE8" i="12" s="1"/>
  <c r="AH38" i="12"/>
  <c r="AH27" i="13"/>
  <c r="AD27" i="13"/>
  <c r="AI27" i="13" s="1"/>
  <c r="AE28" i="13"/>
  <c r="AD8" i="14"/>
  <c r="Z13" i="14"/>
  <c r="Z33" i="14"/>
  <c r="AU13" i="15"/>
  <c r="AA28" i="12"/>
  <c r="AI13" i="15"/>
  <c r="AT15" i="15"/>
  <c r="AV15" i="15" s="1"/>
  <c r="AI17" i="15"/>
  <c r="AK17" i="15" s="1"/>
  <c r="AM25" i="15"/>
  <c r="AM27" i="15" s="1"/>
  <c r="AE29" i="15"/>
  <c r="AJ29" i="15" s="1"/>
  <c r="P4" i="16"/>
  <c r="R4" i="16" s="1"/>
  <c r="L12" i="16"/>
  <c r="L24" i="16"/>
  <c r="L30" i="16"/>
  <c r="Q30" i="16" s="1"/>
  <c r="L32" i="16"/>
  <c r="L34" i="16"/>
  <c r="Q34" i="16" s="1"/>
  <c r="L36" i="16"/>
  <c r="Q36" i="16" s="1"/>
  <c r="L38" i="16"/>
  <c r="Q38" i="16" s="1"/>
  <c r="Z5" i="12"/>
  <c r="AF5" i="12" s="1"/>
  <c r="Z9" i="12"/>
  <c r="AE9" i="12" s="1"/>
  <c r="Z13" i="12"/>
  <c r="AF13" i="12" s="1"/>
  <c r="AK17" i="12"/>
  <c r="AP17" i="12" s="1"/>
  <c r="AD8" i="13"/>
  <c r="AE3" i="15"/>
  <c r="AK3" i="15" s="1"/>
  <c r="AU15" i="15"/>
  <c r="AP18" i="15"/>
  <c r="AV18" i="15" s="1"/>
  <c r="AT20" i="15"/>
  <c r="AV20" i="15" s="1"/>
  <c r="AT22" i="15"/>
  <c r="AV22" i="15" s="1"/>
  <c r="AI32" i="15"/>
  <c r="L17" i="16"/>
  <c r="M26" i="16"/>
  <c r="AU20" i="15"/>
  <c r="AU22" i="15"/>
  <c r="AO25" i="15"/>
  <c r="AJ32" i="15"/>
  <c r="AE31" i="15"/>
  <c r="AJ31" i="15" s="1"/>
  <c r="L10" i="16"/>
  <c r="Q10" i="16" s="1"/>
  <c r="P12" i="16"/>
  <c r="R12" i="16" s="1"/>
  <c r="L20" i="16"/>
  <c r="Q20" i="16" s="1"/>
  <c r="P24" i="16"/>
  <c r="P30" i="16"/>
  <c r="P32" i="16"/>
  <c r="P34" i="16"/>
  <c r="P36" i="16"/>
  <c r="P38" i="16"/>
  <c r="P17" i="16"/>
  <c r="R17" i="16" s="1"/>
  <c r="R26" i="16"/>
  <c r="AT13" i="15"/>
  <c r="AV13" i="15" s="1"/>
  <c r="P5" i="16"/>
  <c r="R5" i="16" s="1"/>
  <c r="AK9" i="12"/>
  <c r="AP9" i="12" s="1"/>
  <c r="AD31" i="14"/>
  <c r="AP3" i="15"/>
  <c r="AV3" i="15" s="1"/>
  <c r="AE20" i="15"/>
  <c r="AK20" i="15" s="1"/>
  <c r="AI31" i="15"/>
  <c r="AE33" i="15"/>
  <c r="AJ33" i="15" s="1"/>
  <c r="P10" i="16"/>
  <c r="P20" i="16"/>
  <c r="R20" i="16" s="1"/>
  <c r="L25" i="16"/>
  <c r="L29" i="16"/>
  <c r="Q29" i="16" s="1"/>
  <c r="L31" i="16"/>
  <c r="Q31" i="16" s="1"/>
  <c r="L33" i="16"/>
  <c r="Q33" i="16" s="1"/>
  <c r="L35" i="16"/>
  <c r="Q35" i="16" s="1"/>
  <c r="L37" i="16"/>
  <c r="Q37" i="16" s="1"/>
  <c r="L39" i="16"/>
  <c r="Q39" i="16" s="1"/>
  <c r="P25" i="16"/>
  <c r="P29" i="16"/>
  <c r="P31" i="16"/>
  <c r="P33" i="16"/>
  <c r="P35" i="16"/>
  <c r="P37" i="16"/>
  <c r="P39" i="16"/>
  <c r="AI30" i="15"/>
  <c r="P11" i="16"/>
  <c r="R11" i="16" s="1"/>
  <c r="P21" i="16"/>
  <c r="R21" i="16" s="1"/>
  <c r="AQ6" i="12" l="1"/>
  <c r="AN27" i="11"/>
  <c r="AJ27" i="11"/>
  <c r="AK6" i="15"/>
  <c r="AF15" i="12"/>
  <c r="AQ10" i="12"/>
  <c r="AU16" i="13"/>
  <c r="AF10" i="12"/>
  <c r="R6" i="16"/>
  <c r="BE17" i="7"/>
  <c r="BG22" i="3"/>
  <c r="BG14" i="3"/>
  <c r="Q19" i="16"/>
  <c r="AJ4" i="14"/>
  <c r="AY3" i="11"/>
  <c r="AJ8" i="13"/>
  <c r="AU18" i="15"/>
  <c r="P26" i="16"/>
  <c r="AQ19" i="12"/>
  <c r="AP27" i="11"/>
  <c r="AQ13" i="12"/>
  <c r="AM27" i="14"/>
  <c r="AJ20" i="15"/>
  <c r="AU4" i="13"/>
  <c r="AX5" i="11"/>
  <c r="BG9" i="3"/>
  <c r="AN27" i="14"/>
  <c r="AO27" i="11"/>
  <c r="R10" i="16"/>
  <c r="AK19" i="15"/>
  <c r="AJ8" i="14"/>
  <c r="AK7" i="11"/>
  <c r="AI27" i="14"/>
  <c r="AJ13" i="13"/>
  <c r="AY20" i="11"/>
  <c r="AE28" i="11"/>
  <c r="AQ13" i="7"/>
  <c r="AK13" i="11"/>
  <c r="AY27" i="11"/>
  <c r="AY23" i="11"/>
  <c r="BE3" i="7"/>
  <c r="AQ5" i="7"/>
  <c r="AW3" i="1"/>
  <c r="AV5" i="1"/>
  <c r="AR5" i="1"/>
  <c r="AS3" i="1"/>
  <c r="AY3" i="1"/>
  <c r="AY4" i="1"/>
  <c r="AN5" i="1"/>
  <c r="AX5" i="1" s="1"/>
  <c r="AS4" i="1"/>
  <c r="AV22" i="7"/>
  <c r="AU22" i="7"/>
  <c r="AP22" i="7"/>
  <c r="AQ12" i="12"/>
  <c r="AI27" i="15"/>
  <c r="AN25" i="15"/>
  <c r="AE28" i="12"/>
  <c r="AQ3" i="12"/>
  <c r="AP18" i="12"/>
  <c r="AM26" i="13"/>
  <c r="AH28" i="13"/>
  <c r="AI26" i="13"/>
  <c r="AD28" i="13"/>
  <c r="AN28" i="13" s="1"/>
  <c r="AO26" i="13"/>
  <c r="AN26" i="13"/>
  <c r="AV8" i="15"/>
  <c r="AV10" i="15"/>
  <c r="AY4" i="11"/>
  <c r="AU21" i="7"/>
  <c r="BG23" i="3"/>
  <c r="BH18" i="3"/>
  <c r="AQ20" i="12"/>
  <c r="AP21" i="7"/>
  <c r="AT21" i="7"/>
  <c r="AK10" i="15"/>
  <c r="BH14" i="3"/>
  <c r="AV5" i="15"/>
  <c r="AV21" i="7"/>
  <c r="AQ8" i="12"/>
  <c r="AQ4" i="12"/>
  <c r="BF15" i="1"/>
  <c r="AE5" i="12"/>
  <c r="AO22" i="7"/>
  <c r="AT22" i="7" s="1"/>
  <c r="AI28" i="13"/>
  <c r="AN26" i="14"/>
  <c r="AD28" i="14"/>
  <c r="AN28" i="14" s="1"/>
  <c r="AD28" i="12"/>
  <c r="AI28" i="12" s="1"/>
  <c r="AI27" i="12"/>
  <c r="AH28" i="14"/>
  <c r="AM26" i="14"/>
  <c r="AJ18" i="11"/>
  <c r="AJ3" i="15"/>
  <c r="AF9" i="12"/>
  <c r="BE5" i="7"/>
  <c r="AW4" i="1"/>
  <c r="AU3" i="14"/>
  <c r="BE7" i="7"/>
  <c r="BE13" i="7"/>
  <c r="AK27" i="12"/>
  <c r="AJ27" i="12"/>
  <c r="AJ28" i="12"/>
  <c r="AF4" i="12"/>
  <c r="L26" i="16"/>
  <c r="Q26" i="16" s="1"/>
  <c r="AM27" i="13"/>
  <c r="AE27" i="12"/>
  <c r="AI26" i="14"/>
  <c r="AY12" i="11"/>
  <c r="AK5" i="11"/>
  <c r="AE13" i="12"/>
  <c r="AQ16" i="12"/>
  <c r="AJ9" i="13"/>
  <c r="AQ9" i="12"/>
  <c r="BH21" i="3"/>
  <c r="BF23" i="3"/>
  <c r="BH23" i="3" s="1"/>
  <c r="AJ9" i="14"/>
  <c r="AV11" i="15"/>
  <c r="N5" i="10"/>
  <c r="S5" i="10" s="1"/>
  <c r="S3" i="10"/>
  <c r="AF8" i="12"/>
  <c r="AK6" i="11"/>
  <c r="R13" i="16"/>
  <c r="AQ10" i="7"/>
  <c r="AP28" i="11"/>
  <c r="Q24" i="16"/>
  <c r="AN27" i="13"/>
  <c r="AQ3" i="7"/>
  <c r="BB15" i="1"/>
  <c r="BG15" i="1" s="1"/>
  <c r="BE18" i="7"/>
  <c r="BD18" i="7"/>
  <c r="AE27" i="15"/>
  <c r="AP25" i="15"/>
  <c r="AK13" i="15"/>
  <c r="AK17" i="11"/>
  <c r="AK9" i="11"/>
  <c r="AJ9" i="11"/>
  <c r="AJ25" i="15"/>
  <c r="AQ5" i="12"/>
  <c r="AQ11" i="7"/>
  <c r="BH12" i="3"/>
  <c r="AN28" i="11" l="1"/>
  <c r="AO28" i="11"/>
  <c r="AO28" i="13"/>
  <c r="AJ28" i="11"/>
  <c r="AY5" i="1"/>
  <c r="AS5" i="1"/>
  <c r="AW5" i="1"/>
  <c r="AO28" i="14"/>
  <c r="AI28" i="14"/>
  <c r="AM28" i="13"/>
  <c r="AJ27" i="15"/>
  <c r="AO27" i="15"/>
  <c r="AP27" i="15"/>
  <c r="AN27" i="15"/>
  <c r="AM28" i="14"/>
</calcChain>
</file>

<file path=xl/sharedStrings.xml><?xml version="1.0" encoding="utf-8"?>
<sst xmlns="http://schemas.openxmlformats.org/spreadsheetml/2006/main" count="6134" uniqueCount="395">
  <si>
    <t>리그</t>
  </si>
  <si>
    <t>시즌</t>
  </si>
  <si>
    <t>대회</t>
  </si>
  <si>
    <t>일자</t>
  </si>
  <si>
    <t>요일</t>
  </si>
  <si>
    <t>라운드</t>
  </si>
  <si>
    <t>상대팀</t>
  </si>
  <si>
    <t>홈/원정</t>
  </si>
  <si>
    <t>득점</t>
  </si>
  <si>
    <t>실점</t>
  </si>
  <si>
    <t>결과</t>
  </si>
  <si>
    <t>중계채널</t>
  </si>
  <si>
    <t>해설</t>
  </si>
  <si>
    <t>캐스터</t>
  </si>
  <si>
    <t>득점1</t>
  </si>
  <si>
    <t>득점2</t>
  </si>
  <si>
    <t>득점3</t>
  </si>
  <si>
    <t>득점4</t>
  </si>
  <si>
    <t>도움1</t>
  </si>
  <si>
    <t>도움2</t>
  </si>
  <si>
    <t>도움3</t>
  </si>
  <si>
    <t>도움4</t>
  </si>
  <si>
    <t>홈 관중</t>
  </si>
  <si>
    <t>주심</t>
  </si>
  <si>
    <t>이름</t>
  </si>
  <si>
    <t>출전</t>
  </si>
  <si>
    <t>선발</t>
  </si>
  <si>
    <t>교체</t>
  </si>
  <si>
    <t>도움</t>
  </si>
  <si>
    <t>합계</t>
  </si>
  <si>
    <t>경기</t>
  </si>
  <si>
    <t>승</t>
  </si>
  <si>
    <t>무</t>
  </si>
  <si>
    <t>패</t>
  </si>
  <si>
    <t>승점</t>
  </si>
  <si>
    <t>승률</t>
  </si>
  <si>
    <t>득실</t>
  </si>
  <si>
    <t>평균 승점</t>
  </si>
  <si>
    <t>평균 득점</t>
  </si>
  <si>
    <t>평균 실점</t>
  </si>
  <si>
    <t>순위</t>
  </si>
  <si>
    <t>팀</t>
  </si>
  <si>
    <t>K리그</t>
  </si>
  <si>
    <t>토</t>
  </si>
  <si>
    <t>서울</t>
  </si>
  <si>
    <t>홈</t>
  </si>
  <si>
    <t>무고사</t>
  </si>
  <si>
    <t>이동준</t>
  </si>
  <si>
    <t>광주</t>
  </si>
  <si>
    <t>원정</t>
  </si>
  <si>
    <t>오후성</t>
  </si>
  <si>
    <t>서재민</t>
  </si>
  <si>
    <t>김명순</t>
  </si>
  <si>
    <t>최현재</t>
  </si>
  <si>
    <t>박승호</t>
  </si>
  <si>
    <t>울산</t>
  </si>
  <si>
    <t>일</t>
  </si>
  <si>
    <t>포항</t>
  </si>
  <si>
    <t>설태환</t>
  </si>
  <si>
    <t>이동률</t>
  </si>
  <si>
    <t>총합</t>
  </si>
  <si>
    <t>대전</t>
  </si>
  <si>
    <t>수</t>
  </si>
  <si>
    <t>이주용</t>
  </si>
  <si>
    <t>김종혁</t>
  </si>
  <si>
    <t>페리어</t>
  </si>
  <si>
    <t>팀명</t>
  </si>
  <si>
    <t>전북</t>
  </si>
  <si>
    <t>안양</t>
  </si>
  <si>
    <t>채상협</t>
  </si>
  <si>
    <t>제르소</t>
  </si>
  <si>
    <t>강원</t>
  </si>
  <si>
    <t>김천</t>
  </si>
  <si>
    <t>이명주</t>
  </si>
  <si>
    <t>최철준</t>
  </si>
  <si>
    <t>인천</t>
  </si>
  <si>
    <t>송민석</t>
  </si>
  <si>
    <t>제주</t>
  </si>
  <si>
    <t>부천</t>
  </si>
  <si>
    <t>신용준</t>
  </si>
  <si>
    <t>최승구</t>
  </si>
  <si>
    <t>이청용</t>
  </si>
  <si>
    <t>고형진</t>
  </si>
  <si>
    <t>정치인</t>
  </si>
  <si>
    <t>김우성</t>
  </si>
  <si>
    <t>이케르</t>
  </si>
  <si>
    <t>박병진</t>
  </si>
  <si>
    <t>김성민</t>
  </si>
  <si>
    <t>김대용</t>
  </si>
  <si>
    <t>이비자</t>
  </si>
  <si>
    <t>정원진</t>
  </si>
  <si>
    <t>출처: soccer365 / K리그 공식</t>
  </si>
  <si>
    <t>백민규</t>
  </si>
  <si>
    <t>문지환</t>
  </si>
  <si>
    <t>김영환</t>
  </si>
  <si>
    <t>오준엽</t>
  </si>
  <si>
    <t>박경섭</t>
  </si>
  <si>
    <t>김건희</t>
  </si>
  <si>
    <t>여승원</t>
  </si>
  <si>
    <t>이상기</t>
  </si>
  <si>
    <t>고정민</t>
  </si>
  <si>
    <t>이준섭</t>
  </si>
  <si>
    <t>레안드로</t>
  </si>
  <si>
    <t>정태욱</t>
  </si>
  <si>
    <t>강영훈</t>
  </si>
  <si>
    <t>김연수</t>
  </si>
  <si>
    <t>이민혁</t>
  </si>
  <si>
    <t>김동헌</t>
  </si>
  <si>
    <t>이태희</t>
  </si>
  <si>
    <t>이상현</t>
  </si>
  <si>
    <t>왕민준</t>
  </si>
  <si>
    <t>홍시후</t>
  </si>
  <si>
    <t>민경현</t>
  </si>
  <si>
    <t>성힘찬</t>
  </si>
  <si>
    <t>박호민</t>
  </si>
  <si>
    <t>FA컵</t>
  </si>
  <si>
    <t>7월29일</t>
  </si>
  <si>
    <t>3R</t>
  </si>
  <si>
    <t>김포</t>
  </si>
  <si>
    <t>박진호</t>
  </si>
  <si>
    <t>2026시즌</t>
  </si>
  <si>
    <t>2025시즌</t>
  </si>
  <si>
    <t>경기수</t>
  </si>
  <si>
    <t>총관중수</t>
  </si>
  <si>
    <t>평균관중</t>
  </si>
  <si>
    <t>전년비</t>
  </si>
  <si>
    <t>쇼타</t>
  </si>
  <si>
    <t>교체+</t>
  </si>
  <si>
    <t>16강</t>
  </si>
  <si>
    <t>8강</t>
  </si>
  <si>
    <t>4강</t>
  </si>
  <si>
    <t>결승</t>
  </si>
  <si>
    <t>서재민 베스트러너 순위</t>
  </si>
  <si>
    <t>거리(m)</t>
  </si>
  <si>
    <t>구분</t>
  </si>
  <si>
    <t>활동량 1위</t>
  </si>
  <si>
    <t>활동량 1위 아님</t>
  </si>
  <si>
    <t>전체</t>
  </si>
  <si>
    <t>평균승점</t>
  </si>
  <si>
    <t>경남</t>
  </si>
  <si>
    <t>바로우</t>
  </si>
  <si>
    <t>정희수</t>
  </si>
  <si>
    <t>수원</t>
  </si>
  <si>
    <t>김보섭</t>
  </si>
  <si>
    <t>박종명</t>
  </si>
  <si>
    <t>성남</t>
  </si>
  <si>
    <t>김재홍</t>
  </si>
  <si>
    <t>서울E</t>
  </si>
  <si>
    <t>조지음</t>
  </si>
  <si>
    <t>부산</t>
  </si>
  <si>
    <t>정동식</t>
  </si>
  <si>
    <t>화성</t>
  </si>
  <si>
    <t>오현진</t>
  </si>
  <si>
    <t>충북청주</t>
  </si>
  <si>
    <t>박세진</t>
  </si>
  <si>
    <t>천안</t>
  </si>
  <si>
    <t>김민석</t>
  </si>
  <si>
    <t>고민국</t>
  </si>
  <si>
    <t>정회수</t>
  </si>
  <si>
    <t>충남아산</t>
  </si>
  <si>
    <t>원명희</t>
  </si>
  <si>
    <t>안산</t>
  </si>
  <si>
    <t>강민성</t>
  </si>
  <si>
    <t>이경순</t>
  </si>
  <si>
    <t>전남</t>
  </si>
  <si>
    <t>서동한</t>
  </si>
  <si>
    <t>자책골</t>
  </si>
  <si>
    <t>오현정</t>
  </si>
  <si>
    <t>최광호</t>
  </si>
  <si>
    <t>김희곤</t>
  </si>
  <si>
    <t>김도혁</t>
  </si>
  <si>
    <t>신진호</t>
  </si>
  <si>
    <t>김현서</t>
  </si>
  <si>
    <t>김용우</t>
  </si>
  <si>
    <t>이가람</t>
  </si>
  <si>
    <t>강도욱</t>
  </si>
  <si>
    <t>김건웅</t>
  </si>
  <si>
    <t>델브리지</t>
  </si>
  <si>
    <t>임형진</t>
  </si>
  <si>
    <t>민성준</t>
  </si>
  <si>
    <t>이범수</t>
  </si>
  <si>
    <t>황성민</t>
  </si>
  <si>
    <t>김세훈</t>
  </si>
  <si>
    <t>박진홍</t>
  </si>
  <si>
    <t>2R</t>
  </si>
  <si>
    <t>춘천시민</t>
  </si>
  <si>
    <t>서동환</t>
  </si>
  <si>
    <t>평창시민</t>
  </si>
  <si>
    <t>현태양</t>
  </si>
  <si>
    <t>김동민</t>
  </si>
  <si>
    <t>2024시즌</t>
  </si>
  <si>
    <t>1R</t>
  </si>
  <si>
    <t>4R</t>
  </si>
  <si>
    <t>5R</t>
  </si>
  <si>
    <t>6R</t>
  </si>
  <si>
    <t>7R</t>
  </si>
  <si>
    <t>8R</t>
  </si>
  <si>
    <t>9R</t>
  </si>
  <si>
    <t>10R</t>
  </si>
  <si>
    <t>11R</t>
  </si>
  <si>
    <t>12R</t>
  </si>
  <si>
    <t>13R</t>
  </si>
  <si>
    <t>14R</t>
  </si>
  <si>
    <t>15R</t>
  </si>
  <si>
    <t>16R</t>
  </si>
  <si>
    <t>17R</t>
  </si>
  <si>
    <t>18R</t>
  </si>
  <si>
    <t>19R</t>
  </si>
  <si>
    <t>20R</t>
  </si>
  <si>
    <t>21R</t>
  </si>
  <si>
    <t>22R</t>
  </si>
  <si>
    <t>23R</t>
  </si>
  <si>
    <t>24R</t>
  </si>
  <si>
    <t>25R</t>
  </si>
  <si>
    <t>26R</t>
  </si>
  <si>
    <t>27R</t>
  </si>
  <si>
    <t>28R</t>
  </si>
  <si>
    <t>29R</t>
  </si>
  <si>
    <t>30R</t>
  </si>
  <si>
    <t>31R</t>
  </si>
  <si>
    <t>강윤구</t>
  </si>
  <si>
    <t>32R</t>
  </si>
  <si>
    <t>33R</t>
  </si>
  <si>
    <t>34R</t>
  </si>
  <si>
    <t>35R</t>
  </si>
  <si>
    <t>36R</t>
  </si>
  <si>
    <t>37R</t>
  </si>
  <si>
    <t>38R</t>
  </si>
  <si>
    <t>39R</t>
  </si>
  <si>
    <t>2025 선수 명단</t>
  </si>
  <si>
    <t>GK</t>
  </si>
  <si>
    <t>CB</t>
  </si>
  <si>
    <t>SB</t>
  </si>
  <si>
    <t>MF</t>
  </si>
  <si>
    <t>WF</t>
  </si>
  <si>
    <t>CF</t>
  </si>
  <si>
    <t>박경섭+</t>
  </si>
  <si>
    <t>이주용+</t>
  </si>
  <si>
    <t>이상헌</t>
  </si>
  <si>
    <t>델브리지+</t>
  </si>
  <si>
    <t>이동률+</t>
  </si>
  <si>
    <t>문지환+</t>
  </si>
  <si>
    <t>임대/군입대</t>
  </si>
  <si>
    <t>득점5</t>
  </si>
  <si>
    <t>도움5</t>
  </si>
  <si>
    <t>해설자</t>
  </si>
  <si>
    <t>수F</t>
  </si>
  <si>
    <t>jtbc</t>
  </si>
  <si>
    <t>차상엽</t>
  </si>
  <si>
    <t>임경진</t>
  </si>
  <si>
    <t>JTBC</t>
  </si>
  <si>
    <t>강성주</t>
  </si>
  <si>
    <t>스카이</t>
  </si>
  <si>
    <t>이상윤</t>
  </si>
  <si>
    <t>소준일</t>
  </si>
  <si>
    <t>김환</t>
  </si>
  <si>
    <t>IB</t>
  </si>
  <si>
    <t>박문성</t>
  </si>
  <si>
    <t>maxports</t>
  </si>
  <si>
    <t>ib</t>
  </si>
  <si>
    <t>김태우</t>
  </si>
  <si>
    <t>송시우</t>
  </si>
  <si>
    <t>이황재</t>
  </si>
  <si>
    <t>박봉서</t>
  </si>
  <si>
    <t>지언학</t>
  </si>
  <si>
    <t>대구</t>
  </si>
  <si>
    <t>현영민</t>
  </si>
  <si>
    <t>이종욱</t>
  </si>
  <si>
    <t>최우진</t>
  </si>
  <si>
    <t>하동선</t>
  </si>
  <si>
    <t>배성재</t>
  </si>
  <si>
    <t>천성훈</t>
  </si>
  <si>
    <t>음포쿠</t>
  </si>
  <si>
    <t>정승호</t>
  </si>
  <si>
    <t>GOLF&amp;PBA</t>
  </si>
  <si>
    <t>MAXPORTS</t>
  </si>
  <si>
    <t>김훈</t>
  </si>
  <si>
    <t>요니치</t>
  </si>
  <si>
    <t>오반석</t>
  </si>
  <si>
    <t>정동윤</t>
  </si>
  <si>
    <t>권한진</t>
  </si>
  <si>
    <t>김준엽</t>
  </si>
  <si>
    <t>김해</t>
  </si>
  <si>
    <t>쿠팡</t>
  </si>
  <si>
    <t>김유성</t>
  </si>
  <si>
    <t>성윤수</t>
  </si>
  <si>
    <t>2023시즌</t>
  </si>
  <si>
    <t>평균관중수</t>
  </si>
  <si>
    <t>전년비 증감</t>
  </si>
  <si>
    <t>경기장</t>
  </si>
  <si>
    <t>비고</t>
  </si>
  <si>
    <t>문학</t>
  </si>
  <si>
    <t>숭의</t>
  </si>
  <si>
    <t>유료관중 집계</t>
  </si>
  <si>
    <t>코로나</t>
  </si>
  <si>
    <t>잔여홈1경기</t>
  </si>
  <si>
    <t>2020시즌</t>
  </si>
  <si>
    <t>상주</t>
  </si>
  <si>
    <t>2021시즌</t>
  </si>
  <si>
    <t>2022시즌</t>
  </si>
  <si>
    <t>에르난데스</t>
  </si>
  <si>
    <t>김형범</t>
  </si>
  <si>
    <t>김대길</t>
  </si>
  <si>
    <t>TVN</t>
  </si>
  <si>
    <t>인터넷</t>
  </si>
  <si>
    <t>윤영주</t>
  </si>
  <si>
    <t>김오성</t>
  </si>
  <si>
    <t>김대중</t>
  </si>
  <si>
    <t>정경호</t>
  </si>
  <si>
    <t>박찬우</t>
  </si>
  <si>
    <t>김민구</t>
  </si>
  <si>
    <t>서형욱</t>
  </si>
  <si>
    <t>박주호</t>
  </si>
  <si>
    <t>박현빈</t>
  </si>
  <si>
    <t>O.G</t>
  </si>
  <si>
    <t>이인환</t>
  </si>
  <si>
    <t>김용남</t>
  </si>
  <si>
    <t>박용식</t>
  </si>
  <si>
    <t>이동수</t>
  </si>
  <si>
    <t>ACL PO</t>
  </si>
  <si>
    <t>P.O</t>
  </si>
  <si>
    <t>하이퐁</t>
  </si>
  <si>
    <t>ACL</t>
  </si>
  <si>
    <t>요코하마</t>
  </si>
  <si>
    <t>카야</t>
  </si>
  <si>
    <t>산둥</t>
  </si>
  <si>
    <t>전년도</t>
  </si>
  <si>
    <t>기성용</t>
  </si>
  <si>
    <t>이용재</t>
  </si>
  <si>
    <t>김용대</t>
  </si>
  <si>
    <t>서호정</t>
  </si>
  <si>
    <t>오범석</t>
  </si>
  <si>
    <t>정종봉</t>
  </si>
  <si>
    <t>여름</t>
  </si>
  <si>
    <t>이대현</t>
  </si>
  <si>
    <t>홍석현</t>
  </si>
  <si>
    <t>이강현</t>
  </si>
  <si>
    <t>-</t>
  </si>
  <si>
    <t>K리그</t>
    <phoneticPr fontId="3" type="noConversion"/>
  </si>
  <si>
    <t>2월 28일</t>
    <phoneticPr fontId="3" type="noConversion"/>
  </si>
  <si>
    <t>토</t>
    <phoneticPr fontId="3" type="noConversion"/>
  </si>
  <si>
    <t>서울</t>
    <phoneticPr fontId="3" type="noConversion"/>
  </si>
  <si>
    <t>홈</t>
    <phoneticPr fontId="3" type="noConversion"/>
  </si>
  <si>
    <t>패</t>
    <phoneticPr fontId="3" type="noConversion"/>
  </si>
  <si>
    <t>3월 7일</t>
    <phoneticPr fontId="3" type="noConversion"/>
  </si>
  <si>
    <t>광주</t>
    <phoneticPr fontId="3" type="noConversion"/>
  </si>
  <si>
    <t>원정</t>
    <phoneticPr fontId="3" type="noConversion"/>
  </si>
  <si>
    <t>3월 15일</t>
    <phoneticPr fontId="3" type="noConversion"/>
  </si>
  <si>
    <t>일</t>
    <phoneticPr fontId="3" type="noConversion"/>
  </si>
  <si>
    <t>포항</t>
    <phoneticPr fontId="3" type="noConversion"/>
  </si>
  <si>
    <t>무</t>
    <phoneticPr fontId="3" type="noConversion"/>
  </si>
  <si>
    <t>3월 18일</t>
    <phoneticPr fontId="3" type="noConversion"/>
  </si>
  <si>
    <t>수</t>
    <phoneticPr fontId="3" type="noConversion"/>
  </si>
  <si>
    <t>대전</t>
    <phoneticPr fontId="3" type="noConversion"/>
  </si>
  <si>
    <t>3월 22일</t>
    <phoneticPr fontId="3" type="noConversion"/>
  </si>
  <si>
    <t>안양</t>
    <phoneticPr fontId="3" type="noConversion"/>
  </si>
  <si>
    <t>승</t>
    <phoneticPr fontId="3" type="noConversion"/>
  </si>
  <si>
    <t>4월 5일</t>
    <phoneticPr fontId="3" type="noConversion"/>
  </si>
  <si>
    <t>김천</t>
    <phoneticPr fontId="3" type="noConversion"/>
  </si>
  <si>
    <t>4월 11일</t>
    <phoneticPr fontId="3" type="noConversion"/>
  </si>
  <si>
    <t>울산</t>
    <phoneticPr fontId="3" type="noConversion"/>
  </si>
  <si>
    <t>4월 18일</t>
    <phoneticPr fontId="3" type="noConversion"/>
  </si>
  <si>
    <t>부천</t>
    <phoneticPr fontId="3" type="noConversion"/>
  </si>
  <si>
    <t>4월 21일</t>
    <phoneticPr fontId="3" type="noConversion"/>
  </si>
  <si>
    <t>화</t>
    <phoneticPr fontId="3" type="noConversion"/>
  </si>
  <si>
    <t>전북</t>
    <phoneticPr fontId="3" type="noConversion"/>
  </si>
  <si>
    <t>4월 25일</t>
    <phoneticPr fontId="3" type="noConversion"/>
  </si>
  <si>
    <t>제주</t>
    <phoneticPr fontId="3" type="noConversion"/>
  </si>
  <si>
    <t>5월 2일</t>
    <phoneticPr fontId="3" type="noConversion"/>
  </si>
  <si>
    <t>강원</t>
    <phoneticPr fontId="3" type="noConversion"/>
  </si>
  <si>
    <t>5월 5일</t>
    <phoneticPr fontId="3" type="noConversion"/>
  </si>
  <si>
    <t>5월 9일</t>
    <phoneticPr fontId="3" type="noConversion"/>
  </si>
  <si>
    <t>5월 12일</t>
    <phoneticPr fontId="3" type="noConversion"/>
  </si>
  <si>
    <t>5월 16일</t>
    <phoneticPr fontId="3" type="noConversion"/>
  </si>
  <si>
    <t>7월 5일</t>
    <phoneticPr fontId="3" type="noConversion"/>
  </si>
  <si>
    <t>7월 12일</t>
    <phoneticPr fontId="3" type="noConversion"/>
  </si>
  <si>
    <t>7월 18일</t>
    <phoneticPr fontId="3" type="noConversion"/>
  </si>
  <si>
    <t>7월 21일</t>
    <phoneticPr fontId="3" type="noConversion"/>
  </si>
  <si>
    <t>7월 26일</t>
    <phoneticPr fontId="3" type="noConversion"/>
  </si>
  <si>
    <t>8월 2일</t>
    <phoneticPr fontId="3" type="noConversion"/>
  </si>
  <si>
    <t>9월 27일</t>
    <phoneticPr fontId="3" type="noConversion"/>
  </si>
  <si>
    <t>8월 16일</t>
    <phoneticPr fontId="3" type="noConversion"/>
  </si>
  <si>
    <t>8월 23일</t>
    <phoneticPr fontId="3" type="noConversion"/>
  </si>
  <si>
    <t>8월 26일</t>
    <phoneticPr fontId="3" type="noConversion"/>
  </si>
  <si>
    <t>8월 30일</t>
    <phoneticPr fontId="3" type="noConversion"/>
  </si>
  <si>
    <t>9월 5일</t>
    <phoneticPr fontId="3" type="noConversion"/>
  </si>
  <si>
    <t>9월 8일</t>
    <phoneticPr fontId="3" type="noConversion"/>
  </si>
  <si>
    <t>9월 12일</t>
    <phoneticPr fontId="3" type="noConversion"/>
  </si>
  <si>
    <t>9월 20일</t>
    <phoneticPr fontId="3" type="noConversion"/>
  </si>
  <si>
    <t>10월 9일</t>
    <phoneticPr fontId="3" type="noConversion"/>
  </si>
  <si>
    <t>금</t>
    <phoneticPr fontId="3" type="noConversion"/>
  </si>
  <si>
    <t>10월 18일</t>
    <phoneticPr fontId="3" type="noConversion"/>
  </si>
  <si>
    <t>10월 24일</t>
    <phoneticPr fontId="3" type="noConversion"/>
  </si>
  <si>
    <t>K리그1 2026 리그순위   (2026-10-24 - 33R 종료)</t>
    <phoneticPr fontId="3" type="noConversion"/>
  </si>
  <si>
    <t>인천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</si>
</sst>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[$-412]m&quot;월&quot;d&quot;일&quot;&quot;(&quot;ddd&quot;)&quot;"/>
    <numFmt numFmtId="178" formatCode="_-* #,##0_-;\-* #,##0_-;_-* &quot;-&quot;??_-;_-@_-"/>
    <numFmt numFmtId="179" formatCode="0.0%"/>
    <numFmt numFmtId="180" formatCode="m&quot;월&quot;\ d&quot;일&quot;;@"/>
    <numFmt numFmtId="181" formatCode="[$-412]&quot;(&quot;ddd&quot;)&quot;"/>
    <numFmt numFmtId="182" formatCode="0.0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8A93A3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0"/>
      <color rgb="FF1A1A1A"/>
      <name val="맑은 고딕"/>
      <family val="3"/>
      <charset val="129"/>
    </font>
    <font>
      <sz val="10"/>
      <color rgb="FF1A1A1A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0275A"/>
      </patternFill>
    </fill>
    <fill>
      <patternFill patternType="solid">
        <fgColor rgb="FF1E5FA8"/>
      </patternFill>
    </fill>
    <fill>
      <patternFill patternType="solid">
        <fgColor rgb="FF8A93A3"/>
      </patternFill>
    </fill>
    <fill>
      <patternFill patternType="solid">
        <fgColor rgb="FF3EA6E8"/>
      </patternFill>
    </fill>
    <fill>
      <patternFill patternType="solid">
        <fgColor rgb="FFD6E9FF"/>
        <bgColor indexed="64"/>
      </patternFill>
    </fill>
    <fill>
      <patternFill patternType="solid">
        <fgColor rgb="FFE9F3FF"/>
        <bgColor indexed="64"/>
      </patternFill>
    </fill>
    <fill>
      <patternFill patternType="solid">
        <fgColor rgb="FFE2B33C"/>
        <bgColor indexed="64"/>
      </patternFill>
    </fill>
    <fill>
      <patternFill patternType="solid">
        <fgColor rgb="FFFFE3E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7D2E2"/>
      </left>
      <right style="thin">
        <color rgb="FFC7D2E2"/>
      </right>
      <top style="thin">
        <color rgb="FFC7D2E2"/>
      </top>
      <bottom style="thin">
        <color rgb="FFC7D2E2"/>
      </bottom>
      <diagonal/>
    </border>
  </borders>
  <cellStyleXfs count="3">
    <xf numFmtId="0" fontId="0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</cellStyleXfs>
  <cellXfs count="4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8" fillId="6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10" fillId="7" borderId="7" xfId="0" applyNumberFormat="1" applyFont="1" applyFill="1" applyBorder="1" applyAlignment="1">
      <alignment horizontal="center" vertical="center"/>
    </xf>
    <xf numFmtId="176" fontId="10" fillId="7" borderId="9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77" fontId="10" fillId="5" borderId="7" xfId="0" applyNumberFormat="1" applyFont="1" applyFill="1" applyBorder="1" applyAlignment="1">
      <alignment horizontal="center" vertical="center"/>
    </xf>
    <xf numFmtId="177" fontId="10" fillId="7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176" fontId="0" fillId="7" borderId="7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1" fontId="0" fillId="5" borderId="8" xfId="2" applyFont="1" applyFill="1" applyBorder="1" applyAlignment="1">
      <alignment horizontal="center" vertical="center"/>
    </xf>
    <xf numFmtId="41" fontId="0" fillId="7" borderId="8" xfId="2" applyFont="1" applyFill="1" applyBorder="1" applyAlignment="1">
      <alignment horizontal="center" vertical="center"/>
    </xf>
    <xf numFmtId="41" fontId="0" fillId="2" borderId="8" xfId="2" applyFont="1" applyFill="1" applyBorder="1" applyAlignment="1">
      <alignment horizontal="center" vertical="center"/>
    </xf>
    <xf numFmtId="41" fontId="0" fillId="12" borderId="8" xfId="2" applyFont="1" applyFill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177" fontId="10" fillId="5" borderId="1" xfId="0" applyNumberFormat="1" applyFont="1" applyFill="1" applyBorder="1" applyAlignment="1">
      <alignment horizontal="center" vertical="center"/>
    </xf>
    <xf numFmtId="177" fontId="10" fillId="7" borderId="1" xfId="0" applyNumberFormat="1" applyFon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7" fontId="10" fillId="12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4" fillId="7" borderId="8" xfId="2" applyFont="1" applyFill="1" applyBorder="1" applyAlignment="1">
      <alignment horizontal="center" vertical="center"/>
    </xf>
    <xf numFmtId="177" fontId="10" fillId="12" borderId="10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7" fontId="10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77" fontId="10" fillId="7" borderId="10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1" fontId="0" fillId="2" borderId="12" xfId="2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77" fontId="10" fillId="12" borderId="4" xfId="0" applyNumberFormat="1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41" fontId="0" fillId="12" borderId="12" xfId="2" applyFont="1" applyFill="1" applyBorder="1" applyAlignment="1">
      <alignment horizontal="center" vertical="center"/>
    </xf>
    <xf numFmtId="179" fontId="0" fillId="0" borderId="0" xfId="1" applyNumberFormat="1" applyFont="1">
      <alignment vertical="center"/>
    </xf>
    <xf numFmtId="0" fontId="0" fillId="0" borderId="21" xfId="0" applyBorder="1" applyAlignment="1">
      <alignment horizontal="center" vertical="center"/>
    </xf>
    <xf numFmtId="41" fontId="0" fillId="0" borderId="21" xfId="2" applyFont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9" fontId="0" fillId="0" borderId="1" xfId="1" applyNumberFormat="1" applyFont="1" applyBorder="1">
      <alignment vertical="center"/>
    </xf>
    <xf numFmtId="41" fontId="0" fillId="7" borderId="1" xfId="2" applyFon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79" fontId="0" fillId="0" borderId="1" xfId="1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41" fontId="0" fillId="5" borderId="29" xfId="2" applyFont="1" applyFill="1" applyBorder="1" applyAlignment="1">
      <alignment horizontal="center" vertical="center"/>
    </xf>
    <xf numFmtId="41" fontId="0" fillId="5" borderId="31" xfId="2" applyFont="1" applyFill="1" applyBorder="1" applyAlignment="1">
      <alignment horizontal="center" vertical="center"/>
    </xf>
    <xf numFmtId="41" fontId="0" fillId="7" borderId="31" xfId="2" applyFont="1" applyFill="1" applyBorder="1" applyAlignment="1">
      <alignment horizontal="center" vertical="center"/>
    </xf>
    <xf numFmtId="41" fontId="4" fillId="7" borderId="31" xfId="2" applyFont="1" applyFill="1" applyBorder="1" applyAlignment="1">
      <alignment horizontal="center" vertical="center"/>
    </xf>
    <xf numFmtId="41" fontId="0" fillId="0" borderId="32" xfId="2" applyFont="1" applyBorder="1">
      <alignment vertical="center"/>
    </xf>
    <xf numFmtId="41" fontId="0" fillId="12" borderId="29" xfId="2" applyFont="1" applyFill="1" applyBorder="1" applyAlignment="1">
      <alignment horizontal="center" vertical="center"/>
    </xf>
    <xf numFmtId="41" fontId="0" fillId="12" borderId="33" xfId="2" applyFont="1" applyFill="1" applyBorder="1" applyAlignment="1">
      <alignment horizontal="center" vertical="center"/>
    </xf>
    <xf numFmtId="177" fontId="10" fillId="12" borderId="35" xfId="0" applyNumberFormat="1" applyFont="1" applyFill="1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0" fontId="5" fillId="12" borderId="36" xfId="0" applyFont="1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41" fontId="0" fillId="12" borderId="39" xfId="2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13" fillId="0" borderId="1" xfId="2" applyFont="1" applyBorder="1" applyAlignment="1">
      <alignment horizontal="center" vertical="center" wrapText="1"/>
    </xf>
    <xf numFmtId="41" fontId="14" fillId="0" borderId="1" xfId="2" applyFont="1" applyBorder="1" applyAlignment="1">
      <alignment horizontal="center" vertical="center" wrapText="1"/>
    </xf>
    <xf numFmtId="41" fontId="15" fillId="0" borderId="1" xfId="2" applyFont="1" applyBorder="1" applyAlignment="1">
      <alignment horizontal="center" vertical="center" wrapText="1"/>
    </xf>
    <xf numFmtId="0" fontId="13" fillId="0" borderId="1" xfId="2" applyNumberFormat="1" applyFont="1" applyBorder="1" applyAlignment="1">
      <alignment horizontal="center" vertical="center" wrapText="1"/>
    </xf>
    <xf numFmtId="41" fontId="0" fillId="3" borderId="1" xfId="2" applyFont="1" applyFill="1" applyBorder="1" applyAlignment="1">
      <alignment horizontal="center" vertical="center"/>
    </xf>
    <xf numFmtId="41" fontId="0" fillId="14" borderId="1" xfId="2" applyFont="1" applyFill="1" applyBorder="1" applyAlignment="1">
      <alignment horizontal="center" vertical="center"/>
    </xf>
    <xf numFmtId="41" fontId="16" fillId="0" borderId="1" xfId="2" applyFont="1" applyBorder="1" applyAlignment="1">
      <alignment horizontal="center" vertical="center"/>
    </xf>
    <xf numFmtId="41" fontId="9" fillId="0" borderId="1" xfId="2" applyFont="1" applyBorder="1" applyAlignment="1">
      <alignment horizontal="center" vertical="center"/>
    </xf>
    <xf numFmtId="0" fontId="16" fillId="0" borderId="1" xfId="2" applyNumberFormat="1" applyFont="1" applyBorder="1" applyAlignment="1">
      <alignment horizontal="center" vertical="center"/>
    </xf>
    <xf numFmtId="43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4" fillId="0" borderId="1" xfId="2" applyNumberFormat="1" applyFont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7" fontId="10" fillId="7" borderId="35" xfId="0" applyNumberFormat="1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41" fontId="0" fillId="7" borderId="39" xfId="2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41" fontId="0" fillId="7" borderId="17" xfId="2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41" fontId="0" fillId="16" borderId="17" xfId="2" applyFont="1" applyFill="1" applyBorder="1" applyAlignment="1">
      <alignment horizontal="center" vertical="center"/>
    </xf>
    <xf numFmtId="41" fontId="0" fillId="16" borderId="8" xfId="2" applyFont="1" applyFill="1" applyBorder="1" applyAlignment="1">
      <alignment horizontal="center" vertical="center"/>
    </xf>
    <xf numFmtId="176" fontId="0" fillId="16" borderId="7" xfId="0" applyNumberFormat="1" applyFill="1" applyBorder="1" applyAlignment="1">
      <alignment horizontal="center" vertical="center"/>
    </xf>
    <xf numFmtId="41" fontId="0" fillId="16" borderId="49" xfId="2" applyFont="1" applyFill="1" applyBorder="1">
      <alignment vertical="center"/>
    </xf>
    <xf numFmtId="41" fontId="0" fillId="16" borderId="8" xfId="2" applyFont="1" applyFill="1" applyBorder="1">
      <alignment vertical="center"/>
    </xf>
    <xf numFmtId="0" fontId="5" fillId="16" borderId="35" xfId="0" applyFont="1" applyFill="1" applyBorder="1" applyAlignment="1">
      <alignment horizontal="center" vertical="center"/>
    </xf>
    <xf numFmtId="0" fontId="4" fillId="16" borderId="35" xfId="0" applyFont="1" applyFill="1" applyBorder="1" applyAlignment="1">
      <alignment horizontal="center" vertical="center"/>
    </xf>
    <xf numFmtId="0" fontId="5" fillId="16" borderId="36" xfId="0" applyFont="1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41" fontId="0" fillId="16" borderId="26" xfId="2" applyFont="1" applyFill="1" applyBorder="1" applyAlignment="1">
      <alignment horizontal="center" vertical="center"/>
    </xf>
    <xf numFmtId="41" fontId="5" fillId="16" borderId="17" xfId="2" applyFont="1" applyFill="1" applyBorder="1" applyAlignment="1">
      <alignment horizontal="center" vertical="center"/>
    </xf>
    <xf numFmtId="41" fontId="5" fillId="16" borderId="8" xfId="2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26" borderId="1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0" fillId="26" borderId="20" xfId="0" applyFill="1" applyBorder="1" applyAlignment="1">
      <alignment horizontal="center" vertical="center"/>
    </xf>
    <xf numFmtId="0" fontId="7" fillId="26" borderId="5" xfId="0" applyFont="1" applyFill="1" applyBorder="1" applyAlignment="1">
      <alignment horizontal="center" vertical="center"/>
    </xf>
    <xf numFmtId="0" fontId="7" fillId="26" borderId="13" xfId="0" applyFont="1" applyFill="1" applyBorder="1" applyAlignment="1">
      <alignment horizontal="center" vertical="center"/>
    </xf>
    <xf numFmtId="0" fontId="7" fillId="26" borderId="27" xfId="0" applyFont="1" applyFill="1" applyBorder="1" applyAlignment="1">
      <alignment horizontal="center" vertical="center"/>
    </xf>
    <xf numFmtId="0" fontId="7" fillId="26" borderId="16" xfId="0" applyFont="1" applyFill="1" applyBorder="1" applyAlignment="1">
      <alignment horizontal="center" vertical="center"/>
    </xf>
    <xf numFmtId="0" fontId="7" fillId="26" borderId="12" xfId="0" applyFont="1" applyFill="1" applyBorder="1" applyAlignment="1">
      <alignment horizontal="center" vertical="center"/>
    </xf>
    <xf numFmtId="180" fontId="10" fillId="27" borderId="4" xfId="0" applyNumberFormat="1" applyFont="1" applyFill="1" applyBorder="1" applyAlignment="1">
      <alignment horizontal="center" vertical="center"/>
    </xf>
    <xf numFmtId="181" fontId="10" fillId="27" borderId="4" xfId="0" applyNumberFormat="1" applyFont="1" applyFill="1" applyBorder="1" applyAlignment="1">
      <alignment horizontal="center" vertical="center"/>
    </xf>
    <xf numFmtId="0" fontId="5" fillId="25" borderId="4" xfId="0" applyFont="1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41" fontId="0" fillId="25" borderId="8" xfId="2" applyFont="1" applyFill="1" applyBorder="1" applyAlignment="1">
      <alignment horizontal="center" vertical="center"/>
    </xf>
    <xf numFmtId="0" fontId="5" fillId="25" borderId="10" xfId="0" applyFon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41" fontId="0" fillId="25" borderId="11" xfId="2" applyFont="1" applyFill="1" applyBorder="1" applyAlignment="1">
      <alignment horizontal="center" vertical="center"/>
    </xf>
    <xf numFmtId="41" fontId="0" fillId="16" borderId="37" xfId="2" applyFont="1" applyFill="1" applyBorder="1" applyAlignment="1">
      <alignment horizontal="center" vertical="center"/>
    </xf>
    <xf numFmtId="180" fontId="10" fillId="27" borderId="1" xfId="0" applyNumberFormat="1" applyFont="1" applyFill="1" applyBorder="1" applyAlignment="1">
      <alignment horizontal="center" vertical="center"/>
    </xf>
    <xf numFmtId="181" fontId="10" fillId="27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41" fontId="0" fillId="25" borderId="1" xfId="2" applyFont="1" applyFill="1" applyBorder="1" applyAlignment="1">
      <alignment horizontal="center" vertical="center"/>
    </xf>
    <xf numFmtId="41" fontId="0" fillId="25" borderId="4" xfId="2" applyFont="1" applyFill="1" applyBorder="1" applyAlignment="1">
      <alignment horizontal="center" vertical="center"/>
    </xf>
    <xf numFmtId="41" fontId="0" fillId="25" borderId="12" xfId="2" applyFont="1" applyFill="1" applyBorder="1" applyAlignment="1">
      <alignment horizontal="center" vertical="center"/>
    </xf>
    <xf numFmtId="180" fontId="10" fillId="27" borderId="10" xfId="0" applyNumberFormat="1" applyFont="1" applyFill="1" applyBorder="1" applyAlignment="1">
      <alignment horizontal="center" vertical="center"/>
    </xf>
    <xf numFmtId="181" fontId="10" fillId="27" borderId="10" xfId="0" applyNumberFormat="1" applyFont="1" applyFill="1" applyBorder="1" applyAlignment="1">
      <alignment horizontal="center" vertical="center"/>
    </xf>
    <xf numFmtId="41" fontId="0" fillId="25" borderId="10" xfId="2" applyFont="1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6" borderId="18" xfId="0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4" fillId="27" borderId="40" xfId="0" applyFont="1" applyFill="1" applyBorder="1" applyAlignment="1">
      <alignment horizontal="center" vertical="center"/>
    </xf>
    <xf numFmtId="0" fontId="4" fillId="27" borderId="21" xfId="0" applyFont="1" applyFill="1" applyBorder="1" applyAlignment="1">
      <alignment horizontal="center" vertical="center"/>
    </xf>
    <xf numFmtId="0" fontId="4" fillId="27" borderId="41" xfId="0" applyFont="1" applyFill="1" applyBorder="1" applyAlignment="1">
      <alignment horizontal="center" vertical="center"/>
    </xf>
    <xf numFmtId="0" fontId="4" fillId="27" borderId="7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0" fontId="4" fillId="27" borderId="9" xfId="0" applyFont="1" applyFill="1" applyBorder="1" applyAlignment="1">
      <alignment horizontal="center" vertical="center"/>
    </xf>
    <xf numFmtId="0" fontId="4" fillId="27" borderId="10" xfId="0" applyFont="1" applyFill="1" applyBorder="1" applyAlignment="1">
      <alignment horizontal="center" vertical="center"/>
    </xf>
    <xf numFmtId="0" fontId="4" fillId="27" borderId="1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27" borderId="47" xfId="0" applyFont="1" applyFill="1" applyBorder="1" applyAlignment="1">
      <alignment horizontal="center" vertical="center"/>
    </xf>
    <xf numFmtId="0" fontId="7" fillId="27" borderId="42" xfId="0" applyFont="1" applyFill="1" applyBorder="1" applyAlignment="1">
      <alignment horizontal="center" vertical="center"/>
    </xf>
    <xf numFmtId="0" fontId="7" fillId="27" borderId="43" xfId="0" applyFont="1" applyFill="1" applyBorder="1" applyAlignment="1">
      <alignment horizontal="center" vertical="center"/>
    </xf>
    <xf numFmtId="0" fontId="7" fillId="27" borderId="48" xfId="0" applyFont="1" applyFill="1" applyBorder="1" applyAlignment="1">
      <alignment horizontal="center" vertical="center"/>
    </xf>
    <xf numFmtId="0" fontId="7" fillId="27" borderId="45" xfId="0" applyFont="1" applyFill="1" applyBorder="1" applyAlignment="1">
      <alignment horizontal="center" vertical="center"/>
    </xf>
    <xf numFmtId="0" fontId="7" fillId="27" borderId="44" xfId="0" applyFont="1" applyFill="1" applyBorder="1" applyAlignment="1">
      <alignment horizontal="center" vertical="center"/>
    </xf>
    <xf numFmtId="9" fontId="8" fillId="27" borderId="1" xfId="1" applyFont="1" applyFill="1" applyBorder="1" applyAlignment="1">
      <alignment horizontal="center" vertical="center"/>
    </xf>
    <xf numFmtId="2" fontId="0" fillId="27" borderId="1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9" fontId="6" fillId="25" borderId="1" xfId="1" applyFont="1" applyFill="1" applyBorder="1" applyAlignment="1">
      <alignment horizontal="center" vertical="center"/>
    </xf>
    <xf numFmtId="2" fontId="4" fillId="25" borderId="1" xfId="0" applyNumberFormat="1" applyFont="1" applyFill="1" applyBorder="1" applyAlignment="1">
      <alignment horizontal="center" vertical="center"/>
    </xf>
    <xf numFmtId="0" fontId="23" fillId="21" borderId="17" xfId="0" applyFont="1" applyFill="1" applyBorder="1" applyAlignment="1">
      <alignment horizontal="center" vertical="center"/>
    </xf>
    <xf numFmtId="0" fontId="24" fillId="21" borderId="17" xfId="0" applyFont="1" applyFill="1" applyBorder="1" applyAlignment="1">
      <alignment horizontal="center" vertical="center"/>
    </xf>
    <xf numFmtId="0" fontId="11" fillId="25" borderId="17" xfId="0" applyFont="1" applyFill="1" applyBorder="1" applyAlignment="1">
      <alignment horizontal="center" vertical="center"/>
    </xf>
    <xf numFmtId="0" fontId="5" fillId="25" borderId="19" xfId="0" applyFont="1" applyFill="1" applyBorder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  <xf numFmtId="0" fontId="5" fillId="25" borderId="15" xfId="0" applyFont="1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0" fontId="0" fillId="25" borderId="25" xfId="0" applyFill="1" applyBorder="1" applyAlignment="1">
      <alignment horizontal="center" vertical="center"/>
    </xf>
    <xf numFmtId="0" fontId="7" fillId="26" borderId="3" xfId="0" applyFont="1" applyFill="1" applyBorder="1" applyAlignment="1">
      <alignment horizontal="center" vertical="center"/>
    </xf>
    <xf numFmtId="0" fontId="7" fillId="26" borderId="4" xfId="0" applyFont="1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180" fontId="10" fillId="27" borderId="21" xfId="0" applyNumberFormat="1" applyFont="1" applyFill="1" applyBorder="1" applyAlignment="1">
      <alignment horizontal="center" vertical="center"/>
    </xf>
    <xf numFmtId="181" fontId="10" fillId="27" borderId="21" xfId="0" applyNumberFormat="1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5" fillId="16" borderId="24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16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25" borderId="2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16" borderId="37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17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41" fontId="4" fillId="25" borderId="1" xfId="2" applyFont="1" applyFill="1" applyBorder="1" applyAlignment="1">
      <alignment horizontal="center" vertical="center"/>
    </xf>
    <xf numFmtId="178" fontId="4" fillId="25" borderId="1" xfId="0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16" borderId="37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41" fontId="0" fillId="16" borderId="52" xfId="2" applyFont="1" applyFill="1" applyBorder="1">
      <alignment vertical="center"/>
    </xf>
    <xf numFmtId="41" fontId="0" fillId="16" borderId="7" xfId="2" applyFont="1" applyFill="1" applyBorder="1" applyAlignment="1">
      <alignment horizontal="center" vertical="center"/>
    </xf>
    <xf numFmtId="180" fontId="10" fillId="25" borderId="1" xfId="0" applyNumberFormat="1" applyFont="1" applyFill="1" applyBorder="1" applyAlignment="1">
      <alignment horizontal="center" vertical="center"/>
    </xf>
    <xf numFmtId="181" fontId="10" fillId="25" borderId="1" xfId="0" applyNumberFormat="1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5" fillId="25" borderId="24" xfId="0" applyFont="1" applyFill="1" applyBorder="1" applyAlignment="1">
      <alignment horizontal="center" vertical="center"/>
    </xf>
    <xf numFmtId="41" fontId="0" fillId="25" borderId="17" xfId="2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41" fontId="5" fillId="25" borderId="17" xfId="2" applyFont="1" applyFill="1" applyBorder="1" applyAlignment="1">
      <alignment horizontal="center" vertical="center"/>
    </xf>
    <xf numFmtId="41" fontId="5" fillId="25" borderId="8" xfId="2" applyFont="1" applyFill="1" applyBorder="1" applyAlignment="1">
      <alignment horizontal="center" vertical="center"/>
    </xf>
    <xf numFmtId="180" fontId="10" fillId="16" borderId="4" xfId="0" applyNumberFormat="1" applyFont="1" applyFill="1" applyBorder="1" applyAlignment="1">
      <alignment horizontal="center" vertical="center"/>
    </xf>
    <xf numFmtId="181" fontId="10" fillId="16" borderId="4" xfId="0" applyNumberFormat="1" applyFont="1" applyFill="1" applyBorder="1" applyAlignment="1">
      <alignment horizontal="center" vertical="center"/>
    </xf>
    <xf numFmtId="180" fontId="10" fillId="16" borderId="1" xfId="0" applyNumberFormat="1" applyFont="1" applyFill="1" applyBorder="1" applyAlignment="1">
      <alignment horizontal="center" vertical="center"/>
    </xf>
    <xf numFmtId="181" fontId="10" fillId="16" borderId="1" xfId="0" applyNumberFormat="1" applyFont="1" applyFill="1" applyBorder="1" applyAlignment="1">
      <alignment horizontal="center" vertical="center"/>
    </xf>
    <xf numFmtId="176" fontId="0" fillId="25" borderId="7" xfId="0" applyNumberFormat="1" applyFill="1" applyBorder="1" applyAlignment="1">
      <alignment horizontal="center" vertical="center"/>
    </xf>
    <xf numFmtId="41" fontId="0" fillId="25" borderId="49" xfId="2" applyFont="1" applyFill="1" applyBorder="1">
      <alignment vertical="center"/>
    </xf>
    <xf numFmtId="41" fontId="0" fillId="25" borderId="8" xfId="2" applyFont="1" applyFill="1" applyBorder="1">
      <alignment vertical="center"/>
    </xf>
    <xf numFmtId="0" fontId="0" fillId="25" borderId="34" xfId="0" applyFill="1" applyBorder="1" applyAlignment="1">
      <alignment horizontal="center" vertical="center"/>
    </xf>
    <xf numFmtId="0" fontId="5" fillId="25" borderId="35" xfId="0" applyFont="1" applyFill="1" applyBorder="1" applyAlignment="1">
      <alignment horizontal="center" vertical="center"/>
    </xf>
    <xf numFmtId="0" fontId="4" fillId="25" borderId="35" xfId="0" applyFont="1" applyFill="1" applyBorder="1" applyAlignment="1">
      <alignment horizontal="center" vertical="center"/>
    </xf>
    <xf numFmtId="0" fontId="5" fillId="25" borderId="37" xfId="0" applyFont="1" applyFill="1" applyBorder="1" applyAlignment="1">
      <alignment horizontal="center" vertical="center"/>
    </xf>
    <xf numFmtId="0" fontId="5" fillId="25" borderId="38" xfId="0" applyFont="1" applyFill="1" applyBorder="1" applyAlignment="1">
      <alignment horizontal="center" vertical="center"/>
    </xf>
    <xf numFmtId="0" fontId="5" fillId="25" borderId="36" xfId="0" applyFont="1" applyFill="1" applyBorder="1" applyAlignment="1">
      <alignment horizontal="center" vertical="center"/>
    </xf>
    <xf numFmtId="0" fontId="0" fillId="25" borderId="38" xfId="0" applyFill="1" applyBorder="1" applyAlignment="1">
      <alignment horizontal="center" vertical="center"/>
    </xf>
    <xf numFmtId="0" fontId="0" fillId="25" borderId="35" xfId="0" applyFill="1" applyBorder="1" applyAlignment="1">
      <alignment horizontal="center" vertical="center"/>
    </xf>
    <xf numFmtId="0" fontId="0" fillId="25" borderId="37" xfId="0" applyFill="1" applyBorder="1" applyAlignment="1">
      <alignment horizontal="center" vertical="center"/>
    </xf>
    <xf numFmtId="41" fontId="0" fillId="25" borderId="37" xfId="2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41" fontId="0" fillId="7" borderId="4" xfId="2" applyFont="1" applyFill="1" applyBorder="1" applyAlignment="1">
      <alignment horizontal="center" vertical="center"/>
    </xf>
    <xf numFmtId="41" fontId="0" fillId="7" borderId="12" xfId="2" applyFont="1" applyFill="1" applyBorder="1" applyAlignment="1">
      <alignment horizontal="center" vertical="center"/>
    </xf>
    <xf numFmtId="180" fontId="10" fillId="25" borderId="35" xfId="0" applyNumberFormat="1" applyFont="1" applyFill="1" applyBorder="1" applyAlignment="1">
      <alignment horizontal="center" vertical="center"/>
    </xf>
    <xf numFmtId="181" fontId="10" fillId="25" borderId="35" xfId="0" applyNumberFormat="1" applyFont="1" applyFill="1" applyBorder="1" applyAlignment="1">
      <alignment horizontal="center" vertical="center"/>
    </xf>
    <xf numFmtId="41" fontId="0" fillId="25" borderId="34" xfId="2" applyFont="1" applyFill="1" applyBorder="1" applyAlignment="1">
      <alignment horizontal="center" vertical="center"/>
    </xf>
    <xf numFmtId="180" fontId="10" fillId="7" borderId="4" xfId="0" applyNumberFormat="1" applyFont="1" applyFill="1" applyBorder="1" applyAlignment="1">
      <alignment horizontal="center" vertical="center"/>
    </xf>
    <xf numFmtId="181" fontId="10" fillId="7" borderId="4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2" fontId="0" fillId="27" borderId="1" xfId="0" applyNumberForma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0" fillId="0" borderId="24" xfId="0" applyBorder="1" applyAlignment="1">
      <alignment horizontal="center" vertical="center"/>
    </xf>
    <xf numFmtId="0" fontId="4" fillId="26" borderId="53" xfId="0" applyFont="1" applyFill="1" applyBorder="1" applyAlignment="1">
      <alignment horizontal="center" vertical="center"/>
    </xf>
    <xf numFmtId="0" fontId="4" fillId="26" borderId="21" xfId="0" applyFont="1" applyFill="1" applyBorder="1" applyAlignment="1">
      <alignment horizontal="center" vertical="center"/>
    </xf>
    <xf numFmtId="0" fontId="7" fillId="26" borderId="5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1" fontId="0" fillId="0" borderId="35" xfId="2" applyFont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41" fontId="0" fillId="0" borderId="1" xfId="2" applyFont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9" fontId="4" fillId="25" borderId="1" xfId="1" applyFont="1" applyFill="1" applyBorder="1" applyAlignment="1">
      <alignment horizontal="center" vertical="center" wrapText="1"/>
    </xf>
    <xf numFmtId="41" fontId="4" fillId="25" borderId="1" xfId="2" applyFont="1" applyFill="1" applyBorder="1" applyAlignment="1">
      <alignment horizontal="center" vertical="center" wrapText="1"/>
    </xf>
    <xf numFmtId="0" fontId="25" fillId="27" borderId="17" xfId="0" applyFont="1" applyFill="1" applyBorder="1" applyAlignment="1">
      <alignment horizontal="center" vertical="center"/>
    </xf>
    <xf numFmtId="0" fontId="0" fillId="0" borderId="0" xfId="0" applyAlignment="1"/>
    <xf numFmtId="0" fontId="27" fillId="29" borderId="55" xfId="0" applyFont="1" applyFill="1" applyBorder="1" applyAlignment="1">
      <alignment horizontal="center" vertical="center"/>
    </xf>
    <xf numFmtId="0" fontId="29" fillId="30" borderId="0" xfId="0" applyFont="1" applyFill="1" applyAlignment="1">
      <alignment horizontal="center"/>
    </xf>
    <xf numFmtId="0" fontId="29" fillId="28" borderId="3" xfId="0" applyFont="1" applyFill="1" applyBorder="1" applyAlignment="1">
      <alignment horizontal="center"/>
    </xf>
    <xf numFmtId="0" fontId="29" fillId="28" borderId="4" xfId="0" applyFont="1" applyFill="1" applyBorder="1" applyAlignment="1">
      <alignment horizontal="center"/>
    </xf>
    <xf numFmtId="0" fontId="29" fillId="28" borderId="12" xfId="0" applyFont="1" applyFill="1" applyBorder="1" applyAlignment="1">
      <alignment horizontal="center"/>
    </xf>
    <xf numFmtId="0" fontId="29" fillId="31" borderId="3" xfId="0" applyFont="1" applyFill="1" applyBorder="1" applyAlignment="1">
      <alignment horizontal="center"/>
    </xf>
    <xf numFmtId="0" fontId="29" fillId="31" borderId="4" xfId="0" applyFont="1" applyFill="1" applyBorder="1" applyAlignment="1">
      <alignment horizontal="center"/>
    </xf>
    <xf numFmtId="0" fontId="29" fillId="31" borderId="12" xfId="0" applyFont="1" applyFill="1" applyBorder="1" applyAlignment="1">
      <alignment horizontal="center"/>
    </xf>
    <xf numFmtId="0" fontId="11" fillId="16" borderId="12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  <xf numFmtId="0" fontId="11" fillId="25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2" fillId="32" borderId="55" xfId="0" applyFont="1" applyFill="1" applyBorder="1" applyAlignment="1">
      <alignment horizontal="center"/>
    </xf>
    <xf numFmtId="0" fontId="32" fillId="33" borderId="55" xfId="0" applyFont="1" applyFill="1" applyBorder="1" applyAlignment="1">
      <alignment horizontal="center"/>
    </xf>
    <xf numFmtId="0" fontId="31" fillId="34" borderId="55" xfId="0" applyFont="1" applyFill="1" applyBorder="1" applyAlignment="1">
      <alignment horizontal="center"/>
    </xf>
    <xf numFmtId="0" fontId="32" fillId="35" borderId="55" xfId="0" applyFont="1" applyFill="1" applyBorder="1" applyAlignment="1">
      <alignment horizontal="center"/>
    </xf>
    <xf numFmtId="0" fontId="1" fillId="0" borderId="17" xfId="0" applyFont="1" applyBorder="1" applyAlignment="1"/>
    <xf numFmtId="0" fontId="1" fillId="0" borderId="2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8" fillId="0" borderId="0" xfId="0" applyFont="1" applyAlignment="1"/>
    <xf numFmtId="0" fontId="0" fillId="0" borderId="0" xfId="0" applyAlignment="1"/>
    <xf numFmtId="0" fontId="26" fillId="28" borderId="0" xfId="0" applyFont="1" applyFill="1" applyAlignment="1">
      <alignment horizontal="center" vertical="center"/>
    </xf>
    <xf numFmtId="0" fontId="32" fillId="0" borderId="55" xfId="0" applyFont="1" applyFill="1" applyBorder="1" applyAlignment="1">
      <alignment horizontal="center"/>
    </xf>
  </cellXfs>
  <cellStyles count="3">
    <cellStyle name="백분율" xfId="1" builtinId="5"/>
    <cellStyle name="쉼표 [0]" xfId="2" builtinId="6"/>
    <cellStyle name="표준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6D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맑은 고딕"/>
        <family val="2"/>
        <charset val="129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기록표" displayName="기록표" ref="A42:E57" totalsRowShown="0" headerRowDxfId="84" headerRowBorderDxfId="83" tableBorderDxfId="82" totalsRowBorderDxfId="81">
  <tableColumns count="5">
    <tableColumn id="1" xr3:uid="{00000000-0010-0000-0000-000001000000}" name="라운드" dataDxfId="80"/>
    <tableColumn id="2" xr3:uid="{00000000-0010-0000-0000-000002000000}" name="상대팀" dataDxfId="79"/>
    <tableColumn id="3" xr3:uid="{00000000-0010-0000-0000-000003000000}" name="순위" dataDxfId="78"/>
    <tableColumn id="4" xr3:uid="{00000000-0010-0000-0000-000004000000}" name="거리(m)" dataDxfId="77" dataCellStyle="쉼표 [0]"/>
    <tableColumn id="5" xr3:uid="{00000000-0010-0000-0000-000005000000}" name="결과" dataDxfId="7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5"/>
  <sheetViews>
    <sheetView tabSelected="1" topLeftCell="A15" zoomScaleNormal="100" workbookViewId="0">
      <selection activeCell="A15" sqref="A15"/>
    </sheetView>
  </sheetViews>
  <sheetFormatPr defaultRowHeight="17"/>
  <cols>
    <col min="2" max="2" width="8" style="18" bestFit="1" customWidth="1"/>
    <col min="3" max="3" width="5.08203125" style="18" bestFit="1" customWidth="1"/>
    <col min="4" max="4" width="6.9140625" style="18" bestFit="1" customWidth="1"/>
    <col min="5" max="5" width="9.25" style="18" bestFit="1" customWidth="1"/>
    <col min="6" max="6" width="7.75" style="18" bestFit="1" customWidth="1"/>
    <col min="7" max="9" width="5.08203125" style="18" bestFit="1" customWidth="1"/>
    <col min="10" max="10" width="8.83203125" style="18" hidden="1" customWidth="1"/>
    <col min="11" max="11" width="5.08203125" style="18" hidden="1" customWidth="1"/>
    <col min="12" max="12" width="6.9140625" style="18" hidden="1" customWidth="1"/>
    <col min="13" max="13" width="9.25" style="452" customWidth="1"/>
    <col min="14" max="14" width="9.25" style="452" bestFit="1" customWidth="1"/>
    <col min="15" max="15" width="10.5" style="452" bestFit="1" customWidth="1"/>
    <col min="16" max="16" width="9" style="452" customWidth="1"/>
    <col min="17" max="17" width="9.25" style="452" bestFit="1" customWidth="1"/>
    <col min="18" max="18" width="9.33203125" style="452" customWidth="1"/>
    <col min="19" max="19" width="9.25" style="452" bestFit="1" customWidth="1"/>
    <col min="20" max="20" width="10.75" style="452" customWidth="1"/>
    <col min="21" max="21" width="8.33203125" style="452" customWidth="1"/>
    <col min="22" max="22" width="8.58203125" style="452" bestFit="1" customWidth="1"/>
    <col min="23" max="23" width="10" style="452" customWidth="1"/>
    <col min="24" max="24" width="11.58203125" style="452" bestFit="1" customWidth="1"/>
    <col min="25" max="25" width="5.5" style="452" bestFit="1" customWidth="1"/>
    <col min="26" max="30" width="5.25" style="452" bestFit="1" customWidth="1"/>
    <col min="31" max="36" width="5.25" style="452" hidden="1" customWidth="1"/>
    <col min="37" max="37" width="5.25" style="452" bestFit="1" customWidth="1"/>
    <col min="38" max="38" width="6.33203125" style="452" bestFit="1" customWidth="1"/>
    <col min="39" max="39" width="9" style="452" bestFit="1" customWidth="1"/>
    <col min="40" max="40" width="5.5" style="452" bestFit="1" customWidth="1"/>
    <col min="41" max="41" width="4" style="452" bestFit="1" customWidth="1"/>
    <col min="42" max="43" width="3.58203125" style="452" bestFit="1" customWidth="1"/>
    <col min="44" max="44" width="5.5" style="452" bestFit="1" customWidth="1"/>
    <col min="45" max="45" width="8" style="452" bestFit="1" customWidth="1"/>
    <col min="46" max="48" width="5.5" style="452" bestFit="1" customWidth="1"/>
    <col min="49" max="51" width="9.83203125" style="452" customWidth="1"/>
    <col min="52" max="52" width="9.08203125" style="452" bestFit="1" customWidth="1"/>
    <col min="53" max="53" width="7.08203125" style="452" bestFit="1" customWidth="1"/>
    <col min="54" max="54" width="5.5" style="452" bestFit="1" customWidth="1"/>
    <col min="55" max="55" width="4" style="452" bestFit="1" customWidth="1"/>
    <col min="56" max="57" width="3.58203125" style="452" bestFit="1" customWidth="1"/>
    <col min="58" max="58" width="5.5" style="452" bestFit="1" customWidth="1"/>
    <col min="59" max="59" width="6.75" style="452" bestFit="1" customWidth="1"/>
    <col min="61" max="61" width="5" style="452" customWidth="1"/>
    <col min="62" max="62" width="8" style="452" customWidth="1"/>
    <col min="63" max="63" width="6" style="452" customWidth="1"/>
    <col min="64" max="66" width="5" style="452" customWidth="1"/>
    <col min="67" max="70" width="6" style="452" customWidth="1"/>
  </cols>
  <sheetData>
    <row r="1" spans="1:77" ht="22" customHeight="1" thickBot="1">
      <c r="Y1" t="s">
        <v>0</v>
      </c>
      <c r="AB1" t="s">
        <v>0</v>
      </c>
      <c r="AE1" t="s">
        <v>1</v>
      </c>
      <c r="AH1" t="s">
        <v>1</v>
      </c>
      <c r="BI1" s="478" t="s">
        <v>393</v>
      </c>
      <c r="BJ1" s="477"/>
      <c r="BK1" s="477"/>
      <c r="BL1" s="477"/>
      <c r="BM1" s="477"/>
      <c r="BN1" s="477"/>
      <c r="BO1" s="477"/>
      <c r="BP1" s="477"/>
      <c r="BQ1" s="477"/>
      <c r="BR1" s="477"/>
    </row>
    <row r="2" spans="1:77" ht="17.5" customHeight="1" thickBot="1">
      <c r="A2" s="302" t="s">
        <v>2</v>
      </c>
      <c r="B2" s="303" t="s">
        <v>3</v>
      </c>
      <c r="C2" s="303" t="s">
        <v>4</v>
      </c>
      <c r="D2" s="303" t="s">
        <v>5</v>
      </c>
      <c r="E2" s="303" t="s">
        <v>6</v>
      </c>
      <c r="F2" s="303" t="s">
        <v>7</v>
      </c>
      <c r="G2" s="303" t="s">
        <v>8</v>
      </c>
      <c r="H2" s="303" t="s">
        <v>9</v>
      </c>
      <c r="I2" s="304" t="s">
        <v>10</v>
      </c>
      <c r="J2" s="303" t="s">
        <v>11</v>
      </c>
      <c r="K2" s="303" t="s">
        <v>12</v>
      </c>
      <c r="L2" s="304" t="s">
        <v>13</v>
      </c>
      <c r="M2" s="365" t="s">
        <v>14</v>
      </c>
      <c r="N2" s="366" t="s">
        <v>15</v>
      </c>
      <c r="O2" s="366" t="s">
        <v>16</v>
      </c>
      <c r="P2" s="307" t="s">
        <v>17</v>
      </c>
      <c r="Q2" s="305" t="s">
        <v>18</v>
      </c>
      <c r="R2" s="303" t="s">
        <v>19</v>
      </c>
      <c r="S2" s="303" t="s">
        <v>20</v>
      </c>
      <c r="T2" s="303" t="s">
        <v>21</v>
      </c>
      <c r="U2" s="306" t="s">
        <v>22</v>
      </c>
      <c r="V2" s="307" t="s">
        <v>23</v>
      </c>
      <c r="X2" s="343" t="s">
        <v>24</v>
      </c>
      <c r="Y2" s="344" t="s">
        <v>25</v>
      </c>
      <c r="Z2" s="345" t="s">
        <v>26</v>
      </c>
      <c r="AA2" s="346" t="s">
        <v>27</v>
      </c>
      <c r="AB2" s="347" t="s">
        <v>8</v>
      </c>
      <c r="AC2" s="348" t="s">
        <v>28</v>
      </c>
      <c r="AD2" s="348" t="s">
        <v>29</v>
      </c>
      <c r="AE2" s="344" t="s">
        <v>25</v>
      </c>
      <c r="AF2" s="345" t="s">
        <v>26</v>
      </c>
      <c r="AG2" s="346" t="s">
        <v>27</v>
      </c>
      <c r="AH2" s="347" t="s">
        <v>8</v>
      </c>
      <c r="AI2" s="348" t="s">
        <v>28</v>
      </c>
      <c r="AJ2" s="348" t="s">
        <v>29</v>
      </c>
      <c r="AM2" s="337" t="s">
        <v>7</v>
      </c>
      <c r="AN2" s="337" t="s">
        <v>30</v>
      </c>
      <c r="AO2" s="337" t="s">
        <v>31</v>
      </c>
      <c r="AP2" s="337" t="s">
        <v>32</v>
      </c>
      <c r="AQ2" s="337" t="s">
        <v>33</v>
      </c>
      <c r="AR2" s="337" t="s">
        <v>34</v>
      </c>
      <c r="AS2" s="337" t="s">
        <v>35</v>
      </c>
      <c r="AT2" s="337" t="s">
        <v>8</v>
      </c>
      <c r="AU2" s="337" t="s">
        <v>9</v>
      </c>
      <c r="AV2" s="337" t="s">
        <v>36</v>
      </c>
      <c r="AW2" s="337" t="s">
        <v>37</v>
      </c>
      <c r="AX2" s="337" t="s">
        <v>38</v>
      </c>
      <c r="AY2" s="337" t="s">
        <v>39</v>
      </c>
      <c r="BA2" s="337" t="s">
        <v>23</v>
      </c>
      <c r="BB2" s="337" t="s">
        <v>30</v>
      </c>
      <c r="BC2" s="337" t="s">
        <v>31</v>
      </c>
      <c r="BD2" s="337" t="s">
        <v>32</v>
      </c>
      <c r="BE2" s="337" t="s">
        <v>33</v>
      </c>
      <c r="BF2" s="337" t="s">
        <v>34</v>
      </c>
      <c r="BG2" s="337" t="s">
        <v>35</v>
      </c>
      <c r="BI2" s="453" t="s">
        <v>40</v>
      </c>
      <c r="BJ2" s="453" t="s">
        <v>41</v>
      </c>
      <c r="BK2" s="453" t="s">
        <v>30</v>
      </c>
      <c r="BL2" s="453" t="s">
        <v>31</v>
      </c>
      <c r="BM2" s="453" t="s">
        <v>32</v>
      </c>
      <c r="BN2" s="453" t="s">
        <v>33</v>
      </c>
      <c r="BO2" s="453" t="s">
        <v>8</v>
      </c>
      <c r="BP2" s="453" t="s">
        <v>9</v>
      </c>
      <c r="BQ2" s="453" t="s">
        <v>36</v>
      </c>
      <c r="BR2" s="453" t="s">
        <v>34</v>
      </c>
      <c r="BT2" s="454"/>
      <c r="BU2" s="454"/>
      <c r="BV2" s="454"/>
      <c r="BW2" s="454"/>
      <c r="BX2" s="454"/>
      <c r="BY2" s="454"/>
    </row>
    <row r="3" spans="1:77">
      <c r="A3" s="245" t="s">
        <v>338</v>
      </c>
      <c r="B3" s="404" t="s">
        <v>339</v>
      </c>
      <c r="C3" s="405" t="s">
        <v>340</v>
      </c>
      <c r="D3" s="283">
        <v>1</v>
      </c>
      <c r="E3" s="284" t="s">
        <v>341</v>
      </c>
      <c r="F3" s="285" t="s">
        <v>342</v>
      </c>
      <c r="G3" s="283">
        <v>1</v>
      </c>
      <c r="H3" s="283">
        <v>2</v>
      </c>
      <c r="I3" s="461" t="s">
        <v>343</v>
      </c>
      <c r="J3" s="373"/>
      <c r="K3" s="283"/>
      <c r="L3" s="286"/>
      <c r="M3" s="246" t="s">
        <v>46</v>
      </c>
      <c r="N3" s="270"/>
      <c r="O3" s="270"/>
      <c r="P3" s="271"/>
      <c r="Q3" s="287"/>
      <c r="R3" s="288"/>
      <c r="S3" s="288"/>
      <c r="T3" s="288"/>
      <c r="U3" s="289">
        <v>18108</v>
      </c>
      <c r="V3" s="274" t="s">
        <v>47</v>
      </c>
      <c r="X3" s="328" t="s">
        <v>46</v>
      </c>
      <c r="Y3" s="332">
        <f t="shared" ref="Y3:Y43" si="0">Z3+AA3</f>
        <v>30</v>
      </c>
      <c r="Z3" s="132">
        <f>COUNTIF('출전기록 (26)'!C$2:M$39,'2026 토탈'!X3)</f>
        <v>21</v>
      </c>
      <c r="AA3" s="132">
        <f>COUNTIF('출전기록 (26)'!N$2:S$39,'2026 토탈'!X3)</f>
        <v>9</v>
      </c>
      <c r="AB3" s="333">
        <f t="shared" ref="AB3:AB43" si="1">COUNTIF($M$3:$P$40,$X3)</f>
        <v>14</v>
      </c>
      <c r="AC3" s="334">
        <f t="shared" ref="AC3:AC43" si="2">COUNTIF($Q$3:$T$40,$X3)</f>
        <v>2</v>
      </c>
      <c r="AD3" s="335">
        <f t="shared" ref="AD3:AD43" si="3">AB3+AC3</f>
        <v>16</v>
      </c>
      <c r="AE3" s="332">
        <f t="shared" ref="AE3:AE43" si="4">AF3+AG3</f>
        <v>30</v>
      </c>
      <c r="AF3" s="132">
        <f>COUNTIF('출전기록 (26)'!W$2:AG$7,'2026 토탈'!X3)+Z3</f>
        <v>21</v>
      </c>
      <c r="AG3" s="132">
        <f>COUNTIF('출전기록 (26)'!AH$2:AM$7,'2026 토탈'!X3)+AA3</f>
        <v>9</v>
      </c>
      <c r="AH3" s="333">
        <f t="shared" ref="AH3:AH43" si="5">COUNTIF($M$3:$P$41,$X3)</f>
        <v>14</v>
      </c>
      <c r="AI3" s="334">
        <f t="shared" ref="AI3:AI43" si="6">COUNTIF($Q$3:$T$41,$X3)</f>
        <v>2</v>
      </c>
      <c r="AJ3" s="335">
        <f t="shared" ref="AJ3:AJ43" si="7">AH3+AI3</f>
        <v>16</v>
      </c>
      <c r="AM3" s="2" t="s">
        <v>45</v>
      </c>
      <c r="AN3" s="2">
        <f>SUM(AO3:AQ3)</f>
        <v>17</v>
      </c>
      <c r="AO3" s="243">
        <f t="shared" ref="AO3:AQ4" si="8">COUNTIFS($A$3:$A$40,"K리그",$F$3:$F$40,$AM3,$I$3:$I$40,AO$2)</f>
        <v>7</v>
      </c>
      <c r="AP3" s="58">
        <f t="shared" si="8"/>
        <v>4</v>
      </c>
      <c r="AQ3" s="342">
        <f t="shared" si="8"/>
        <v>6</v>
      </c>
      <c r="AR3" s="352">
        <f>AO3*3+AP3</f>
        <v>25</v>
      </c>
      <c r="AS3" s="10">
        <f>IFERROR(AO3/AN3,0)</f>
        <v>0.41176470588235292</v>
      </c>
      <c r="AT3" s="2">
        <f>SUMIFS($G$3:$G$40,$A$3:$A$40,"K리그",$F$3:$F$40,$AM3)</f>
        <v>23</v>
      </c>
      <c r="AU3" s="2">
        <f>SUMIFS($H$3:$H$40,$A$3:$A$40,"K리그",$F$3:$F$40,$AM3)</f>
        <v>17</v>
      </c>
      <c r="AV3" s="2">
        <f>AT3-AU3</f>
        <v>6</v>
      </c>
      <c r="AW3" s="434">
        <f>IFERROR(AR3/AN3,0)</f>
        <v>1.4705882352941178</v>
      </c>
      <c r="AX3" s="434">
        <f>IFERROR(AT3/AN3,0)</f>
        <v>1.3529411764705883</v>
      </c>
      <c r="AY3" s="434">
        <f>IFERROR(AU3/AN3,0)</f>
        <v>1</v>
      </c>
      <c r="BA3" s="464" t="s">
        <v>47</v>
      </c>
      <c r="BB3" s="464">
        <f t="shared" ref="BB3:BB14" si="9">SUM(BC3:BE3)</f>
        <v>2</v>
      </c>
      <c r="BC3" s="243">
        <f t="shared" ref="BC3:BE14" si="10">COUNTIFS($V$3:$V$40,$BA3,$I$3:$I$40,BC$2)</f>
        <v>0</v>
      </c>
      <c r="BD3" s="465">
        <f t="shared" si="10"/>
        <v>0</v>
      </c>
      <c r="BE3" s="342">
        <f t="shared" si="10"/>
        <v>2</v>
      </c>
      <c r="BF3" s="89">
        <f t="shared" ref="BF3:BF14" si="11">BC3*3+BD3</f>
        <v>0</v>
      </c>
      <c r="BG3" s="11">
        <f t="shared" ref="BG3:BG15" si="12">IFERROR(BC3/BB3,0)</f>
        <v>0</v>
      </c>
      <c r="BI3" s="469">
        <v>1</v>
      </c>
      <c r="BJ3" s="469" t="s">
        <v>341</v>
      </c>
      <c r="BK3" s="469">
        <v>33</v>
      </c>
      <c r="BL3" s="469">
        <v>20</v>
      </c>
      <c r="BM3" s="469">
        <v>7</v>
      </c>
      <c r="BN3" s="469">
        <v>6</v>
      </c>
      <c r="BO3" s="469">
        <v>61</v>
      </c>
      <c r="BP3" s="469">
        <v>29</v>
      </c>
      <c r="BQ3" s="469">
        <f>BO3-BP3</f>
        <v>32</v>
      </c>
      <c r="BR3" s="469">
        <v>67</v>
      </c>
    </row>
    <row r="4" spans="1:77">
      <c r="A4" s="246" t="s">
        <v>338</v>
      </c>
      <c r="B4" s="406" t="s">
        <v>344</v>
      </c>
      <c r="C4" s="407" t="s">
        <v>340</v>
      </c>
      <c r="D4" s="266">
        <v>2</v>
      </c>
      <c r="E4" s="267" t="s">
        <v>345</v>
      </c>
      <c r="F4" s="267" t="s">
        <v>346</v>
      </c>
      <c r="G4" s="266">
        <v>2</v>
      </c>
      <c r="H4" s="266">
        <v>3</v>
      </c>
      <c r="I4" s="462" t="s">
        <v>343</v>
      </c>
      <c r="J4" s="374"/>
      <c r="K4" s="266"/>
      <c r="L4" s="269"/>
      <c r="M4" s="246" t="s">
        <v>50</v>
      </c>
      <c r="N4" s="270" t="s">
        <v>51</v>
      </c>
      <c r="O4" s="270"/>
      <c r="P4" s="271"/>
      <c r="Q4" s="272" t="s">
        <v>52</v>
      </c>
      <c r="R4" s="270" t="s">
        <v>46</v>
      </c>
      <c r="S4" s="270"/>
      <c r="T4" s="270"/>
      <c r="U4" s="273"/>
      <c r="V4" s="274" t="s">
        <v>53</v>
      </c>
      <c r="X4" s="60" t="s">
        <v>54</v>
      </c>
      <c r="Y4" s="332">
        <f t="shared" si="0"/>
        <v>14</v>
      </c>
      <c r="Z4" s="132">
        <f>COUNTIF('출전기록 (26)'!C$2:M$39,'2026 토탈'!X4)</f>
        <v>6</v>
      </c>
      <c r="AA4" s="132">
        <f>COUNTIF('출전기록 (26)'!N$2:S$39,'2026 토탈'!X4)</f>
        <v>8</v>
      </c>
      <c r="AB4" s="333">
        <f t="shared" si="1"/>
        <v>0</v>
      </c>
      <c r="AC4" s="334">
        <f t="shared" si="2"/>
        <v>0</v>
      </c>
      <c r="AD4" s="335">
        <f t="shared" si="3"/>
        <v>0</v>
      </c>
      <c r="AE4" s="332">
        <f t="shared" si="4"/>
        <v>14</v>
      </c>
      <c r="AF4" s="132">
        <f>COUNTIF('출전기록 (26)'!W$2:AG$7,'2026 토탈'!X4)+Z4</f>
        <v>6</v>
      </c>
      <c r="AG4" s="132">
        <f>COUNTIF('출전기록 (26)'!AH$2:AM$7,'2026 토탈'!X4)+AA4</f>
        <v>8</v>
      </c>
      <c r="AH4" s="333">
        <f t="shared" si="5"/>
        <v>0</v>
      </c>
      <c r="AI4" s="334">
        <f t="shared" si="6"/>
        <v>0</v>
      </c>
      <c r="AJ4" s="335">
        <f t="shared" si="7"/>
        <v>0</v>
      </c>
      <c r="AM4" s="2" t="s">
        <v>49</v>
      </c>
      <c r="AN4" s="2">
        <f>SUM(AO4:AQ4)</f>
        <v>16</v>
      </c>
      <c r="AO4" s="243">
        <f t="shared" si="8"/>
        <v>5</v>
      </c>
      <c r="AP4" s="58">
        <f t="shared" si="8"/>
        <v>6</v>
      </c>
      <c r="AQ4" s="342">
        <f t="shared" si="8"/>
        <v>5</v>
      </c>
      <c r="AR4" s="352">
        <f>AO4*3+AP4</f>
        <v>21</v>
      </c>
      <c r="AS4" s="23">
        <f>IFERROR(AO4/AN4,0)</f>
        <v>0.3125</v>
      </c>
      <c r="AT4" s="2">
        <f>SUMIFS($G$3:$G$40,$A$3:$A$40,"K리그",$F$3:$F$40,$AM4)</f>
        <v>20</v>
      </c>
      <c r="AU4" s="2">
        <f>SUMIFS($H$3:$H$40,$A$3:$A$40,"K리그",$F$3:$F$40,$AM4)</f>
        <v>18</v>
      </c>
      <c r="AV4" s="2">
        <f>AT4-AU4</f>
        <v>2</v>
      </c>
      <c r="AW4" s="434">
        <f>IFERROR(AR4/AN4,0)</f>
        <v>1.3125</v>
      </c>
      <c r="AX4" s="434">
        <f>IFERROR(AT4/AN4,0)</f>
        <v>1.25</v>
      </c>
      <c r="AY4" s="434">
        <f>IFERROR(AU4/AN4,0)</f>
        <v>1.125</v>
      </c>
      <c r="BA4" s="464" t="s">
        <v>53</v>
      </c>
      <c r="BB4" s="464">
        <f t="shared" si="9"/>
        <v>3</v>
      </c>
      <c r="BC4" s="243">
        <f t="shared" si="10"/>
        <v>1</v>
      </c>
      <c r="BD4" s="465">
        <f t="shared" si="10"/>
        <v>1</v>
      </c>
      <c r="BE4" s="342">
        <f t="shared" si="10"/>
        <v>1</v>
      </c>
      <c r="BF4" s="89">
        <f t="shared" si="11"/>
        <v>4</v>
      </c>
      <c r="BG4" s="11">
        <f t="shared" si="12"/>
        <v>0.33333333333333331</v>
      </c>
      <c r="BI4" s="470">
        <v>2</v>
      </c>
      <c r="BJ4" s="470" t="s">
        <v>360</v>
      </c>
      <c r="BK4" s="470">
        <v>33</v>
      </c>
      <c r="BL4" s="470">
        <v>15</v>
      </c>
      <c r="BM4" s="470">
        <v>6</v>
      </c>
      <c r="BN4" s="470">
        <v>12</v>
      </c>
      <c r="BO4" s="470">
        <v>52</v>
      </c>
      <c r="BP4" s="470">
        <v>47</v>
      </c>
      <c r="BQ4" s="470">
        <f>BO4-BP4</f>
        <v>5</v>
      </c>
      <c r="BR4" s="470">
        <v>51</v>
      </c>
    </row>
    <row r="5" spans="1:77">
      <c r="A5" s="246" t="s">
        <v>338</v>
      </c>
      <c r="B5" s="406" t="s">
        <v>347</v>
      </c>
      <c r="C5" s="407" t="s">
        <v>348</v>
      </c>
      <c r="D5" s="266">
        <v>3</v>
      </c>
      <c r="E5" s="267" t="s">
        <v>349</v>
      </c>
      <c r="F5" s="267" t="s">
        <v>346</v>
      </c>
      <c r="G5" s="266">
        <v>1</v>
      </c>
      <c r="H5" s="266">
        <v>1</v>
      </c>
      <c r="I5" s="462" t="s">
        <v>350</v>
      </c>
      <c r="J5" s="374"/>
      <c r="K5" s="266"/>
      <c r="L5" s="269"/>
      <c r="M5" s="246" t="s">
        <v>46</v>
      </c>
      <c r="N5" s="270"/>
      <c r="O5" s="270"/>
      <c r="P5" s="271"/>
      <c r="Q5" s="272"/>
      <c r="R5" s="270"/>
      <c r="S5" s="270"/>
      <c r="T5" s="270"/>
      <c r="U5" s="273"/>
      <c r="V5" s="274" t="s">
        <v>58</v>
      </c>
      <c r="X5" s="60" t="s">
        <v>59</v>
      </c>
      <c r="Y5" s="332">
        <f t="shared" si="0"/>
        <v>29</v>
      </c>
      <c r="Z5" s="132">
        <f>COUNTIF('출전기록 (26)'!C$2:M$39,'2026 토탈'!X5)</f>
        <v>16</v>
      </c>
      <c r="AA5" s="132">
        <f>COUNTIF('출전기록 (26)'!N$2:S$39,'2026 토탈'!X5)</f>
        <v>13</v>
      </c>
      <c r="AB5" s="333">
        <f t="shared" si="1"/>
        <v>4</v>
      </c>
      <c r="AC5" s="334">
        <f t="shared" si="2"/>
        <v>2</v>
      </c>
      <c r="AD5" s="335">
        <f t="shared" si="3"/>
        <v>6</v>
      </c>
      <c r="AE5" s="332">
        <f t="shared" si="4"/>
        <v>29</v>
      </c>
      <c r="AF5" s="132">
        <f>COUNTIF('출전기록 (26)'!W$2:AG$7,'2026 토탈'!X5)+Z5</f>
        <v>16</v>
      </c>
      <c r="AG5" s="132">
        <f>COUNTIF('출전기록 (26)'!AH$2:AM$7,'2026 토탈'!X5)+AA5</f>
        <v>13</v>
      </c>
      <c r="AH5" s="333">
        <f t="shared" si="5"/>
        <v>4</v>
      </c>
      <c r="AI5" s="334">
        <f t="shared" si="6"/>
        <v>2</v>
      </c>
      <c r="AJ5" s="335">
        <f t="shared" si="7"/>
        <v>6</v>
      </c>
      <c r="AM5" s="337" t="s">
        <v>60</v>
      </c>
      <c r="AN5" s="337">
        <f>SUM(AN3:AN4)</f>
        <v>33</v>
      </c>
      <c r="AO5" s="337">
        <f>SUM(AO3:AO4)</f>
        <v>12</v>
      </c>
      <c r="AP5" s="337">
        <f>SUM(AP3:AP4)</f>
        <v>10</v>
      </c>
      <c r="AQ5" s="337">
        <f>SUM(AQ3:AQ4)</f>
        <v>11</v>
      </c>
      <c r="AR5" s="337">
        <f>SUM(AR3:AR4)</f>
        <v>46</v>
      </c>
      <c r="AS5" s="349">
        <f>IFERROR(AO5/AN5,0)</f>
        <v>0.36363636363636365</v>
      </c>
      <c r="AT5" s="337">
        <f>SUM(AT3:AT4)</f>
        <v>43</v>
      </c>
      <c r="AU5" s="337">
        <f>SUM(AU3:AU4)</f>
        <v>35</v>
      </c>
      <c r="AV5" s="337">
        <f>SUM(AV3:AV4)</f>
        <v>8</v>
      </c>
      <c r="AW5" s="435">
        <f>IFERROR(AR5/AN5,0)</f>
        <v>1.393939393939394</v>
      </c>
      <c r="AX5" s="435">
        <f>IFERROR(AT5/AN5,0)</f>
        <v>1.303030303030303</v>
      </c>
      <c r="AY5" s="435">
        <f>IFERROR(AU5/AN5,0)</f>
        <v>1.0606060606060606</v>
      </c>
      <c r="BA5" s="464" t="s">
        <v>58</v>
      </c>
      <c r="BB5" s="464">
        <f t="shared" si="9"/>
        <v>3</v>
      </c>
      <c r="BC5" s="243">
        <f t="shared" si="10"/>
        <v>0</v>
      </c>
      <c r="BD5" s="465">
        <f t="shared" si="10"/>
        <v>2</v>
      </c>
      <c r="BE5" s="342">
        <f t="shared" si="10"/>
        <v>1</v>
      </c>
      <c r="BF5" s="89">
        <f t="shared" si="11"/>
        <v>2</v>
      </c>
      <c r="BG5" s="11">
        <f t="shared" si="12"/>
        <v>0</v>
      </c>
      <c r="BI5" s="470">
        <v>3</v>
      </c>
      <c r="BJ5" s="470" t="s">
        <v>353</v>
      </c>
      <c r="BK5" s="470">
        <v>33</v>
      </c>
      <c r="BL5" s="470">
        <v>13</v>
      </c>
      <c r="BM5" s="470">
        <v>10</v>
      </c>
      <c r="BN5" s="470">
        <v>10</v>
      </c>
      <c r="BO5" s="470">
        <v>53</v>
      </c>
      <c r="BP5" s="470">
        <v>41</v>
      </c>
      <c r="BQ5" s="470">
        <f>BO5-BP5</f>
        <v>12</v>
      </c>
      <c r="BR5" s="470">
        <v>49</v>
      </c>
    </row>
    <row r="6" spans="1:77">
      <c r="A6" s="246" t="s">
        <v>338</v>
      </c>
      <c r="B6" s="406" t="s">
        <v>351</v>
      </c>
      <c r="C6" s="407" t="s">
        <v>352</v>
      </c>
      <c r="D6" s="266">
        <v>4</v>
      </c>
      <c r="E6" s="267" t="s">
        <v>353</v>
      </c>
      <c r="F6" s="268" t="s">
        <v>342</v>
      </c>
      <c r="G6" s="266">
        <v>1</v>
      </c>
      <c r="H6" s="266">
        <v>3</v>
      </c>
      <c r="I6" s="462" t="s">
        <v>343</v>
      </c>
      <c r="J6" s="374"/>
      <c r="K6" s="266"/>
      <c r="L6" s="269"/>
      <c r="M6" s="246" t="s">
        <v>46</v>
      </c>
      <c r="N6" s="270"/>
      <c r="O6" s="270"/>
      <c r="P6" s="271"/>
      <c r="Q6" s="272" t="s">
        <v>63</v>
      </c>
      <c r="R6" s="270"/>
      <c r="S6" s="270"/>
      <c r="T6" s="270"/>
      <c r="U6" s="273">
        <v>6360</v>
      </c>
      <c r="V6" s="274" t="s">
        <v>64</v>
      </c>
      <c r="X6" s="60" t="s">
        <v>65</v>
      </c>
      <c r="Y6" s="332">
        <f t="shared" si="0"/>
        <v>29</v>
      </c>
      <c r="Z6" s="132">
        <f>COUNTIF('출전기록 (26)'!C$2:M$39,'2026 토탈'!X6)</f>
        <v>16</v>
      </c>
      <c r="AA6" s="132">
        <f>COUNTIF('출전기록 (26)'!N$2:S$39,'2026 토탈'!X6)</f>
        <v>13</v>
      </c>
      <c r="AB6" s="333">
        <f t="shared" si="1"/>
        <v>7</v>
      </c>
      <c r="AC6" s="334">
        <f t="shared" si="2"/>
        <v>2</v>
      </c>
      <c r="AD6" s="335">
        <f t="shared" si="3"/>
        <v>9</v>
      </c>
      <c r="AE6" s="332">
        <f t="shared" si="4"/>
        <v>29</v>
      </c>
      <c r="AF6" s="132">
        <f>COUNTIF('출전기록 (26)'!W$2:AG$7,'2026 토탈'!X6)+Z6</f>
        <v>16</v>
      </c>
      <c r="AG6" s="132">
        <f>COUNTIF('출전기록 (26)'!AH$2:AM$7,'2026 토탈'!X6)+AA6</f>
        <v>13</v>
      </c>
      <c r="AH6" s="333">
        <f t="shared" si="5"/>
        <v>7</v>
      </c>
      <c r="AI6" s="334">
        <f t="shared" si="6"/>
        <v>2</v>
      </c>
      <c r="AJ6" s="335">
        <f t="shared" si="7"/>
        <v>9</v>
      </c>
      <c r="AM6" s="337" t="s">
        <v>66</v>
      </c>
      <c r="AN6" s="337" t="s">
        <v>30</v>
      </c>
      <c r="AO6" s="337" t="s">
        <v>31</v>
      </c>
      <c r="AP6" s="337" t="s">
        <v>32</v>
      </c>
      <c r="AQ6" s="337" t="s">
        <v>33</v>
      </c>
      <c r="AR6" s="337" t="s">
        <v>34</v>
      </c>
      <c r="AS6" s="337" t="s">
        <v>35</v>
      </c>
      <c r="AT6" s="337" t="s">
        <v>8</v>
      </c>
      <c r="AU6" s="337" t="s">
        <v>9</v>
      </c>
      <c r="AV6" s="337" t="s">
        <v>36</v>
      </c>
      <c r="BA6" s="464" t="s">
        <v>64</v>
      </c>
      <c r="BB6" s="464">
        <f t="shared" si="9"/>
        <v>5</v>
      </c>
      <c r="BC6" s="243">
        <f t="shared" si="10"/>
        <v>2</v>
      </c>
      <c r="BD6" s="465">
        <f t="shared" si="10"/>
        <v>1</v>
      </c>
      <c r="BE6" s="342">
        <f t="shared" si="10"/>
        <v>2</v>
      </c>
      <c r="BF6" s="89">
        <f t="shared" si="11"/>
        <v>7</v>
      </c>
      <c r="BG6" s="11">
        <f t="shared" si="12"/>
        <v>0.4</v>
      </c>
      <c r="BI6" s="479">
        <v>4</v>
      </c>
      <c r="BJ6" s="479" t="s">
        <v>365</v>
      </c>
      <c r="BK6" s="479">
        <v>33</v>
      </c>
      <c r="BL6" s="479">
        <v>12</v>
      </c>
      <c r="BM6" s="479">
        <v>12</v>
      </c>
      <c r="BN6" s="479">
        <v>9</v>
      </c>
      <c r="BO6" s="479">
        <v>43</v>
      </c>
      <c r="BP6" s="479">
        <v>33</v>
      </c>
      <c r="BQ6" s="479">
        <f>BO6-BP6</f>
        <v>10</v>
      </c>
      <c r="BR6" s="479">
        <v>48</v>
      </c>
    </row>
    <row r="7" spans="1:77">
      <c r="A7" s="246" t="s">
        <v>338</v>
      </c>
      <c r="B7" s="406" t="s">
        <v>354</v>
      </c>
      <c r="C7" s="407" t="s">
        <v>348</v>
      </c>
      <c r="D7" s="266">
        <v>5</v>
      </c>
      <c r="E7" s="267" t="s">
        <v>355</v>
      </c>
      <c r="F7" s="267" t="s">
        <v>346</v>
      </c>
      <c r="G7" s="266">
        <v>1</v>
      </c>
      <c r="H7" s="266">
        <v>0</v>
      </c>
      <c r="I7" s="462" t="s">
        <v>356</v>
      </c>
      <c r="J7" s="374"/>
      <c r="K7" s="266"/>
      <c r="L7" s="269"/>
      <c r="M7" s="246" t="s">
        <v>46</v>
      </c>
      <c r="N7" s="270"/>
      <c r="O7" s="270"/>
      <c r="P7" s="271"/>
      <c r="Q7" s="272"/>
      <c r="R7" s="270"/>
      <c r="S7" s="270"/>
      <c r="T7" s="270"/>
      <c r="U7" s="273"/>
      <c r="V7" s="274" t="s">
        <v>69</v>
      </c>
      <c r="X7" s="327" t="s">
        <v>70</v>
      </c>
      <c r="Y7" s="332">
        <f t="shared" si="0"/>
        <v>33</v>
      </c>
      <c r="Z7" s="132">
        <f>COUNTIF('출전기록 (26)'!C$2:M$39,'2026 토탈'!X7)</f>
        <v>19</v>
      </c>
      <c r="AA7" s="132">
        <f>COUNTIF('출전기록 (26)'!N$2:S$39,'2026 토탈'!X7)</f>
        <v>14</v>
      </c>
      <c r="AB7" s="333">
        <f t="shared" si="1"/>
        <v>4</v>
      </c>
      <c r="AC7" s="334">
        <f t="shared" si="2"/>
        <v>0</v>
      </c>
      <c r="AD7" s="335">
        <f t="shared" si="3"/>
        <v>4</v>
      </c>
      <c r="AE7" s="332">
        <f t="shared" si="4"/>
        <v>33</v>
      </c>
      <c r="AF7" s="132">
        <f>COUNTIF('출전기록 (26)'!W$2:AG$7,'2026 토탈'!X7)+Z7</f>
        <v>19</v>
      </c>
      <c r="AG7" s="132">
        <f>COUNTIF('출전기록 (26)'!AH$2:AM$7,'2026 토탈'!X7)+AA7</f>
        <v>14</v>
      </c>
      <c r="AH7" s="333">
        <f t="shared" si="5"/>
        <v>4</v>
      </c>
      <c r="AI7" s="334">
        <f t="shared" si="6"/>
        <v>0</v>
      </c>
      <c r="AJ7" s="335">
        <f t="shared" si="7"/>
        <v>4</v>
      </c>
      <c r="AL7" s="2" t="s">
        <v>42</v>
      </c>
      <c r="AM7" s="2" t="s">
        <v>67</v>
      </c>
      <c r="AN7" s="89">
        <f t="shared" ref="AN7:AN17" si="13">SUM(AO7:AQ7)</f>
        <v>3</v>
      </c>
      <c r="AO7" s="243">
        <f t="shared" ref="AO7:AO17" si="14">COUNTIFS(A:A,AL7,E:E,AM7,I:I,"승")</f>
        <v>2</v>
      </c>
      <c r="AP7" s="243">
        <f t="shared" ref="AP7:AP17" si="15">COUNTIFS(A:A,AL7,E:E,AM7,I:I,"무")</f>
        <v>1</v>
      </c>
      <c r="AQ7" s="351">
        <f t="shared" ref="AQ7:AQ17" si="16">COUNTIFS(A:A,AL7,E:E,AM7,I:I,"패")</f>
        <v>0</v>
      </c>
      <c r="AR7" s="352">
        <f t="shared" ref="AR7:AR17" si="17">AO7*3+AP7</f>
        <v>7</v>
      </c>
      <c r="AS7" s="23">
        <f>AO7/AN7</f>
        <v>0.66666666666666663</v>
      </c>
      <c r="AT7" s="2">
        <f t="shared" ref="AT7:AT17" si="18">SUMIF(E:E,AM7,G:G)</f>
        <v>4</v>
      </c>
      <c r="AU7" s="2">
        <f t="shared" ref="AU7:AU17" si="19">SUMIF(E:E,AM7,H:H)</f>
        <v>2</v>
      </c>
      <c r="AV7" s="2">
        <f t="shared" ref="AV7:AV17" si="20">AT7-AU7</f>
        <v>2</v>
      </c>
      <c r="BA7" s="464" t="s">
        <v>69</v>
      </c>
      <c r="BB7" s="464">
        <f t="shared" si="9"/>
        <v>1</v>
      </c>
      <c r="BC7" s="243">
        <f t="shared" si="10"/>
        <v>1</v>
      </c>
      <c r="BD7" s="465">
        <f t="shared" si="10"/>
        <v>0</v>
      </c>
      <c r="BE7" s="342">
        <f t="shared" si="10"/>
        <v>0</v>
      </c>
      <c r="BF7" s="89">
        <f t="shared" si="11"/>
        <v>3</v>
      </c>
      <c r="BG7" s="11">
        <f t="shared" si="12"/>
        <v>1</v>
      </c>
      <c r="BI7" s="479">
        <v>5</v>
      </c>
      <c r="BJ7" s="479" t="s">
        <v>369</v>
      </c>
      <c r="BK7" s="479">
        <v>33</v>
      </c>
      <c r="BL7" s="479">
        <v>11</v>
      </c>
      <c r="BM7" s="479">
        <v>15</v>
      </c>
      <c r="BN7" s="479">
        <v>7</v>
      </c>
      <c r="BO7" s="479">
        <v>40</v>
      </c>
      <c r="BP7" s="479">
        <v>30</v>
      </c>
      <c r="BQ7" s="479">
        <f>BO7-BP7</f>
        <v>10</v>
      </c>
      <c r="BR7" s="479">
        <v>48</v>
      </c>
    </row>
    <row r="8" spans="1:77">
      <c r="A8" s="246" t="s">
        <v>338</v>
      </c>
      <c r="B8" s="406" t="s">
        <v>357</v>
      </c>
      <c r="C8" s="407" t="s">
        <v>348</v>
      </c>
      <c r="D8" s="266">
        <v>6</v>
      </c>
      <c r="E8" s="267" t="s">
        <v>358</v>
      </c>
      <c r="F8" s="268" t="s">
        <v>342</v>
      </c>
      <c r="G8" s="266">
        <v>2</v>
      </c>
      <c r="H8" s="266">
        <v>1</v>
      </c>
      <c r="I8" s="462" t="s">
        <v>356</v>
      </c>
      <c r="J8" s="374"/>
      <c r="K8" s="266"/>
      <c r="L8" s="269"/>
      <c r="M8" s="246" t="s">
        <v>46</v>
      </c>
      <c r="N8" s="270" t="s">
        <v>46</v>
      </c>
      <c r="O8" s="270"/>
      <c r="P8" s="271"/>
      <c r="Q8" s="272" t="s">
        <v>73</v>
      </c>
      <c r="R8" s="270"/>
      <c r="S8" s="270"/>
      <c r="T8" s="270"/>
      <c r="U8" s="273">
        <v>8239</v>
      </c>
      <c r="V8" s="274" t="s">
        <v>74</v>
      </c>
      <c r="X8" s="327" t="s">
        <v>51</v>
      </c>
      <c r="Y8" s="332">
        <f t="shared" si="0"/>
        <v>32</v>
      </c>
      <c r="Z8" s="132">
        <f>COUNTIF('출전기록 (26)'!C$2:M$39,'2026 토탈'!X8)</f>
        <v>30</v>
      </c>
      <c r="AA8" s="132">
        <f>COUNTIF('출전기록 (26)'!N$2:S$39,'2026 토탈'!X8)</f>
        <v>2</v>
      </c>
      <c r="AB8" s="333">
        <f t="shared" si="1"/>
        <v>1</v>
      </c>
      <c r="AC8" s="334">
        <f t="shared" si="2"/>
        <v>1</v>
      </c>
      <c r="AD8" s="335">
        <f t="shared" si="3"/>
        <v>2</v>
      </c>
      <c r="AE8" s="332">
        <f t="shared" si="4"/>
        <v>32</v>
      </c>
      <c r="AF8" s="132">
        <f>COUNTIF('출전기록 (26)'!W$2:AG$7,'2026 토탈'!X8)+Z8</f>
        <v>30</v>
      </c>
      <c r="AG8" s="132">
        <f>COUNTIF('출전기록 (26)'!AH$2:AM$7,'2026 토탈'!X8)+AA8</f>
        <v>2</v>
      </c>
      <c r="AH8" s="333">
        <f t="shared" si="5"/>
        <v>1</v>
      </c>
      <c r="AI8" s="334">
        <f t="shared" si="6"/>
        <v>1</v>
      </c>
      <c r="AJ8" s="335">
        <f t="shared" si="7"/>
        <v>2</v>
      </c>
      <c r="AL8" s="2" t="s">
        <v>42</v>
      </c>
      <c r="AM8" s="2" t="s">
        <v>61</v>
      </c>
      <c r="AN8" s="89">
        <f t="shared" si="13"/>
        <v>3</v>
      </c>
      <c r="AO8" s="243">
        <f t="shared" si="14"/>
        <v>0</v>
      </c>
      <c r="AP8" s="243">
        <f t="shared" si="15"/>
        <v>2</v>
      </c>
      <c r="AQ8" s="351">
        <f t="shared" si="16"/>
        <v>1</v>
      </c>
      <c r="AR8" s="352">
        <f t="shared" si="17"/>
        <v>2</v>
      </c>
      <c r="AS8" s="23">
        <f>AO8/AN8</f>
        <v>0</v>
      </c>
      <c r="AT8" s="2">
        <f t="shared" si="18"/>
        <v>2</v>
      </c>
      <c r="AU8" s="2">
        <f t="shared" si="19"/>
        <v>4</v>
      </c>
      <c r="AV8" s="2">
        <f t="shared" si="20"/>
        <v>-2</v>
      </c>
      <c r="BA8" s="464" t="s">
        <v>74</v>
      </c>
      <c r="BB8" s="464">
        <f t="shared" si="9"/>
        <v>3</v>
      </c>
      <c r="BC8" s="243">
        <f t="shared" si="10"/>
        <v>1</v>
      </c>
      <c r="BD8" s="465">
        <f t="shared" si="10"/>
        <v>1</v>
      </c>
      <c r="BE8" s="342">
        <f t="shared" si="10"/>
        <v>1</v>
      </c>
      <c r="BF8" s="89">
        <f t="shared" si="11"/>
        <v>4</v>
      </c>
      <c r="BG8" s="11">
        <f t="shared" si="12"/>
        <v>0.33333333333333331</v>
      </c>
      <c r="BI8" s="471">
        <v>6</v>
      </c>
      <c r="BJ8" s="471" t="s">
        <v>394</v>
      </c>
      <c r="BK8" s="471">
        <v>33</v>
      </c>
      <c r="BL8" s="471">
        <v>12</v>
      </c>
      <c r="BM8" s="471">
        <v>10</v>
      </c>
      <c r="BN8" s="471">
        <v>11</v>
      </c>
      <c r="BO8" s="471">
        <v>43</v>
      </c>
      <c r="BP8" s="471">
        <v>35</v>
      </c>
      <c r="BQ8" s="471">
        <f>BO8-BP8</f>
        <v>8</v>
      </c>
      <c r="BR8" s="471">
        <v>46</v>
      </c>
    </row>
    <row r="9" spans="1:77">
      <c r="A9" s="246" t="s">
        <v>338</v>
      </c>
      <c r="B9" s="406" t="s">
        <v>359</v>
      </c>
      <c r="C9" s="407" t="s">
        <v>340</v>
      </c>
      <c r="D9" s="266">
        <v>7</v>
      </c>
      <c r="E9" s="267" t="s">
        <v>360</v>
      </c>
      <c r="F9" s="268" t="s">
        <v>342</v>
      </c>
      <c r="G9" s="266">
        <v>1</v>
      </c>
      <c r="H9" s="266">
        <v>2</v>
      </c>
      <c r="I9" s="462" t="s">
        <v>343</v>
      </c>
      <c r="J9" s="374"/>
      <c r="K9" s="266"/>
      <c r="L9" s="269"/>
      <c r="M9" s="246" t="s">
        <v>46</v>
      </c>
      <c r="N9" s="270"/>
      <c r="O9" s="270"/>
      <c r="P9" s="271"/>
      <c r="Q9" s="272" t="s">
        <v>51</v>
      </c>
      <c r="R9" s="270"/>
      <c r="S9" s="270"/>
      <c r="T9" s="270"/>
      <c r="U9" s="273">
        <v>11358</v>
      </c>
      <c r="V9" s="274" t="s">
        <v>76</v>
      </c>
      <c r="X9" s="327" t="s">
        <v>73</v>
      </c>
      <c r="Y9" s="332">
        <f t="shared" si="0"/>
        <v>31</v>
      </c>
      <c r="Z9" s="132">
        <f>COUNTIF('출전기록 (26)'!C$2:M$39,'2026 토탈'!X9)</f>
        <v>27</v>
      </c>
      <c r="AA9" s="132">
        <f>COUNTIF('출전기록 (26)'!N$2:S$39,'2026 토탈'!X9)</f>
        <v>4</v>
      </c>
      <c r="AB9" s="333">
        <f t="shared" si="1"/>
        <v>2</v>
      </c>
      <c r="AC9" s="334">
        <f t="shared" si="2"/>
        <v>3</v>
      </c>
      <c r="AD9" s="335">
        <f t="shared" si="3"/>
        <v>5</v>
      </c>
      <c r="AE9" s="332">
        <f t="shared" si="4"/>
        <v>31</v>
      </c>
      <c r="AF9" s="132">
        <f>COUNTIF('출전기록 (26)'!W$2:AG$7,'2026 토탈'!X9)+Z9</f>
        <v>27</v>
      </c>
      <c r="AG9" s="132">
        <f>COUNTIF('출전기록 (26)'!AH$2:AM$7,'2026 토탈'!X9)+AA9</f>
        <v>4</v>
      </c>
      <c r="AH9" s="333">
        <f t="shared" si="5"/>
        <v>2</v>
      </c>
      <c r="AI9" s="334">
        <f t="shared" si="6"/>
        <v>3</v>
      </c>
      <c r="AJ9" s="335">
        <f t="shared" si="7"/>
        <v>5</v>
      </c>
      <c r="AL9" s="2" t="s">
        <v>42</v>
      </c>
      <c r="AM9" s="2" t="s">
        <v>72</v>
      </c>
      <c r="AN9" s="89">
        <f t="shared" si="13"/>
        <v>3</v>
      </c>
      <c r="AO9" s="243">
        <f t="shared" si="14"/>
        <v>2</v>
      </c>
      <c r="AP9" s="243">
        <f t="shared" si="15"/>
        <v>1</v>
      </c>
      <c r="AQ9" s="351">
        <f t="shared" si="16"/>
        <v>0</v>
      </c>
      <c r="AR9" s="352">
        <f t="shared" si="17"/>
        <v>7</v>
      </c>
      <c r="AS9" s="23">
        <f>AO9/AN9</f>
        <v>0.66666666666666663</v>
      </c>
      <c r="AT9" s="2">
        <f t="shared" si="18"/>
        <v>6</v>
      </c>
      <c r="AU9" s="2">
        <f t="shared" si="19"/>
        <v>2</v>
      </c>
      <c r="AV9" s="2">
        <f t="shared" si="20"/>
        <v>4</v>
      </c>
      <c r="BA9" s="464" t="s">
        <v>76</v>
      </c>
      <c r="BB9" s="464">
        <f t="shared" si="9"/>
        <v>3</v>
      </c>
      <c r="BC9" s="243">
        <f t="shared" si="10"/>
        <v>1</v>
      </c>
      <c r="BD9" s="465">
        <f t="shared" si="10"/>
        <v>1</v>
      </c>
      <c r="BE9" s="342">
        <f t="shared" si="10"/>
        <v>1</v>
      </c>
      <c r="BF9" s="89">
        <f t="shared" si="11"/>
        <v>4</v>
      </c>
      <c r="BG9" s="11">
        <f t="shared" si="12"/>
        <v>0.33333333333333331</v>
      </c>
      <c r="BI9" s="479">
        <v>7</v>
      </c>
      <c r="BJ9" s="479" t="s">
        <v>367</v>
      </c>
      <c r="BK9" s="479">
        <v>33</v>
      </c>
      <c r="BL9" s="479">
        <v>12</v>
      </c>
      <c r="BM9" s="479">
        <v>10</v>
      </c>
      <c r="BN9" s="479">
        <v>11</v>
      </c>
      <c r="BO9" s="479">
        <v>39</v>
      </c>
      <c r="BP9" s="479">
        <v>37</v>
      </c>
      <c r="BQ9" s="479">
        <f>BO9-BP9</f>
        <v>2</v>
      </c>
      <c r="BR9" s="479">
        <v>46</v>
      </c>
    </row>
    <row r="10" spans="1:77">
      <c r="A10" s="246" t="s">
        <v>338</v>
      </c>
      <c r="B10" s="406" t="s">
        <v>361</v>
      </c>
      <c r="C10" s="407" t="s">
        <v>340</v>
      </c>
      <c r="D10" s="266">
        <v>8</v>
      </c>
      <c r="E10" s="267" t="s">
        <v>362</v>
      </c>
      <c r="F10" s="267" t="s">
        <v>346</v>
      </c>
      <c r="G10" s="266">
        <v>2</v>
      </c>
      <c r="H10" s="266">
        <v>2</v>
      </c>
      <c r="I10" s="462" t="s">
        <v>350</v>
      </c>
      <c r="J10" s="374"/>
      <c r="K10" s="266"/>
      <c r="L10" s="269"/>
      <c r="M10" s="246" t="s">
        <v>65</v>
      </c>
      <c r="N10" s="270" t="s">
        <v>70</v>
      </c>
      <c r="O10" s="270"/>
      <c r="P10" s="271"/>
      <c r="Q10" s="272" t="s">
        <v>52</v>
      </c>
      <c r="R10" s="270"/>
      <c r="S10" s="270"/>
      <c r="T10" s="270"/>
      <c r="U10" s="273"/>
      <c r="V10" s="274" t="s">
        <v>79</v>
      </c>
      <c r="X10" s="327" t="s">
        <v>50</v>
      </c>
      <c r="Y10" s="332">
        <f t="shared" si="0"/>
        <v>9</v>
      </c>
      <c r="Z10" s="132">
        <f>COUNTIF('출전기록 (26)'!C$2:M$39,'2026 토탈'!X10)</f>
        <v>7</v>
      </c>
      <c r="AA10" s="132">
        <f>COUNTIF('출전기록 (26)'!N$2:S$39,'2026 토탈'!X10)</f>
        <v>2</v>
      </c>
      <c r="AB10" s="333">
        <f t="shared" si="1"/>
        <v>1</v>
      </c>
      <c r="AC10" s="334">
        <f t="shared" si="2"/>
        <v>0</v>
      </c>
      <c r="AD10" s="335">
        <f t="shared" si="3"/>
        <v>1</v>
      </c>
      <c r="AE10" s="332">
        <f t="shared" si="4"/>
        <v>9</v>
      </c>
      <c r="AF10" s="132">
        <f>COUNTIF('출전기록 (26)'!W$2:AG$7,'2026 토탈'!X10)+Z10</f>
        <v>7</v>
      </c>
      <c r="AG10" s="132">
        <f>COUNTIF('출전기록 (26)'!AH$2:AM$7,'2026 토탈'!X10)+AA10</f>
        <v>2</v>
      </c>
      <c r="AH10" s="333">
        <f t="shared" si="5"/>
        <v>1</v>
      </c>
      <c r="AI10" s="334">
        <f t="shared" si="6"/>
        <v>0</v>
      </c>
      <c r="AJ10" s="335">
        <f t="shared" si="7"/>
        <v>1</v>
      </c>
      <c r="AL10" s="2" t="s">
        <v>42</v>
      </c>
      <c r="AM10" s="2" t="s">
        <v>44</v>
      </c>
      <c r="AN10" s="89">
        <f t="shared" si="13"/>
        <v>3</v>
      </c>
      <c r="AO10" s="243">
        <f t="shared" si="14"/>
        <v>0</v>
      </c>
      <c r="AP10" s="243">
        <f t="shared" si="15"/>
        <v>0</v>
      </c>
      <c r="AQ10" s="351">
        <f t="shared" si="16"/>
        <v>3</v>
      </c>
      <c r="AR10" s="352">
        <f t="shared" si="17"/>
        <v>0</v>
      </c>
      <c r="AS10" s="23">
        <f>AO10/AN10</f>
        <v>0</v>
      </c>
      <c r="AT10" s="2">
        <f t="shared" si="18"/>
        <v>1</v>
      </c>
      <c r="AU10" s="2">
        <f t="shared" si="19"/>
        <v>4</v>
      </c>
      <c r="AV10" s="2">
        <f t="shared" si="20"/>
        <v>-3</v>
      </c>
      <c r="BA10" s="464" t="s">
        <v>79</v>
      </c>
      <c r="BB10" s="464">
        <f t="shared" si="9"/>
        <v>4</v>
      </c>
      <c r="BC10" s="243">
        <f t="shared" si="10"/>
        <v>2</v>
      </c>
      <c r="BD10" s="465">
        <f t="shared" si="10"/>
        <v>1</v>
      </c>
      <c r="BE10" s="342">
        <f t="shared" si="10"/>
        <v>1</v>
      </c>
      <c r="BF10" s="89">
        <f t="shared" si="11"/>
        <v>7</v>
      </c>
      <c r="BG10" s="11">
        <f t="shared" si="12"/>
        <v>0.5</v>
      </c>
      <c r="BI10" s="479">
        <v>8</v>
      </c>
      <c r="BJ10" s="479" t="s">
        <v>355</v>
      </c>
      <c r="BK10" s="479">
        <v>33</v>
      </c>
      <c r="BL10" s="479">
        <v>10</v>
      </c>
      <c r="BM10" s="479">
        <v>13</v>
      </c>
      <c r="BN10" s="479">
        <v>10</v>
      </c>
      <c r="BO10" s="479">
        <v>40</v>
      </c>
      <c r="BP10" s="479">
        <v>48</v>
      </c>
      <c r="BQ10" s="479">
        <f>BO10-BP10</f>
        <v>-8</v>
      </c>
      <c r="BR10" s="479">
        <v>43</v>
      </c>
    </row>
    <row r="11" spans="1:77">
      <c r="A11" s="246" t="s">
        <v>338</v>
      </c>
      <c r="B11" s="406" t="s">
        <v>363</v>
      </c>
      <c r="C11" s="407" t="s">
        <v>364</v>
      </c>
      <c r="D11" s="266">
        <v>9</v>
      </c>
      <c r="E11" s="267" t="s">
        <v>365</v>
      </c>
      <c r="F11" s="267" t="s">
        <v>346</v>
      </c>
      <c r="G11" s="266">
        <v>2</v>
      </c>
      <c r="H11" s="266">
        <v>1</v>
      </c>
      <c r="I11" s="462" t="s">
        <v>356</v>
      </c>
      <c r="J11" s="374"/>
      <c r="K11" s="266"/>
      <c r="L11" s="269"/>
      <c r="M11" s="246" t="s">
        <v>73</v>
      </c>
      <c r="N11" s="270" t="s">
        <v>59</v>
      </c>
      <c r="O11" s="270"/>
      <c r="P11" s="271"/>
      <c r="Q11" s="272" t="s">
        <v>80</v>
      </c>
      <c r="R11" s="270"/>
      <c r="S11" s="270"/>
      <c r="T11" s="270"/>
      <c r="U11" s="273"/>
      <c r="V11" s="274" t="s">
        <v>64</v>
      </c>
      <c r="X11" s="358" t="s">
        <v>81</v>
      </c>
      <c r="Y11" s="332">
        <f t="shared" si="0"/>
        <v>33</v>
      </c>
      <c r="Z11" s="132">
        <f>COUNTIF('출전기록 (26)'!C$2:M$39,'2026 토탈'!X11)</f>
        <v>22</v>
      </c>
      <c r="AA11" s="132">
        <f>COUNTIF('출전기록 (26)'!N$2:S$39,'2026 토탈'!X11)</f>
        <v>11</v>
      </c>
      <c r="AB11" s="333">
        <f t="shared" si="1"/>
        <v>3</v>
      </c>
      <c r="AC11" s="334">
        <f t="shared" si="2"/>
        <v>2</v>
      </c>
      <c r="AD11" s="335">
        <f t="shared" si="3"/>
        <v>5</v>
      </c>
      <c r="AE11" s="332">
        <f t="shared" si="4"/>
        <v>33</v>
      </c>
      <c r="AF11" s="132">
        <f>COUNTIF('출전기록 (26)'!W$2:AG$7,'2026 토탈'!X11)+Z11</f>
        <v>22</v>
      </c>
      <c r="AG11" s="132">
        <f>COUNTIF('출전기록 (26)'!AH$2:AM$7,'2026 토탈'!X11)+AA11</f>
        <v>11</v>
      </c>
      <c r="AH11" s="333">
        <f t="shared" si="5"/>
        <v>3</v>
      </c>
      <c r="AI11" s="334">
        <f t="shared" si="6"/>
        <v>2</v>
      </c>
      <c r="AJ11" s="335">
        <f t="shared" si="7"/>
        <v>5</v>
      </c>
      <c r="AL11" s="2" t="s">
        <v>42</v>
      </c>
      <c r="AM11" s="2" t="s">
        <v>57</v>
      </c>
      <c r="AN11" s="89">
        <f t="shared" si="13"/>
        <v>3</v>
      </c>
      <c r="AO11" s="243">
        <f t="shared" si="14"/>
        <v>1</v>
      </c>
      <c r="AP11" s="243">
        <f t="shared" si="15"/>
        <v>1</v>
      </c>
      <c r="AQ11" s="351">
        <f t="shared" si="16"/>
        <v>1</v>
      </c>
      <c r="AR11" s="352">
        <f t="shared" si="17"/>
        <v>4</v>
      </c>
      <c r="AS11" s="23">
        <f>AO11/AN11</f>
        <v>0.33333333333333331</v>
      </c>
      <c r="AT11" s="2">
        <f t="shared" si="18"/>
        <v>4</v>
      </c>
      <c r="AU11" s="2">
        <f t="shared" si="19"/>
        <v>2</v>
      </c>
      <c r="AV11" s="2">
        <f t="shared" si="20"/>
        <v>2</v>
      </c>
      <c r="BA11" s="464" t="s">
        <v>82</v>
      </c>
      <c r="BB11" s="464">
        <f t="shared" si="9"/>
        <v>3</v>
      </c>
      <c r="BC11" s="243">
        <f t="shared" si="10"/>
        <v>1</v>
      </c>
      <c r="BD11" s="465">
        <f t="shared" si="10"/>
        <v>0</v>
      </c>
      <c r="BE11" s="342">
        <f t="shared" si="10"/>
        <v>2</v>
      </c>
      <c r="BF11" s="89">
        <f t="shared" si="11"/>
        <v>3</v>
      </c>
      <c r="BG11" s="11">
        <f t="shared" si="12"/>
        <v>0.33333333333333331</v>
      </c>
      <c r="BI11" s="479">
        <v>9</v>
      </c>
      <c r="BJ11" s="479" t="s">
        <v>349</v>
      </c>
      <c r="BK11" s="479">
        <v>33</v>
      </c>
      <c r="BL11" s="479">
        <v>11</v>
      </c>
      <c r="BM11" s="479">
        <v>9</v>
      </c>
      <c r="BN11" s="479">
        <v>13</v>
      </c>
      <c r="BO11" s="479">
        <v>30</v>
      </c>
      <c r="BP11" s="479">
        <v>39</v>
      </c>
      <c r="BQ11" s="479">
        <f>BO11-BP11</f>
        <v>-9</v>
      </c>
      <c r="BR11" s="479">
        <v>42</v>
      </c>
    </row>
    <row r="12" spans="1:77">
      <c r="A12" s="246" t="s">
        <v>338</v>
      </c>
      <c r="B12" s="406" t="s">
        <v>366</v>
      </c>
      <c r="C12" s="407" t="s">
        <v>340</v>
      </c>
      <c r="D12" s="266">
        <v>10</v>
      </c>
      <c r="E12" s="267" t="s">
        <v>367</v>
      </c>
      <c r="F12" s="268" t="s">
        <v>342</v>
      </c>
      <c r="G12" s="266">
        <v>1</v>
      </c>
      <c r="H12" s="266">
        <v>0</v>
      </c>
      <c r="I12" s="462" t="s">
        <v>356</v>
      </c>
      <c r="J12" s="374"/>
      <c r="K12" s="266"/>
      <c r="L12" s="269"/>
      <c r="M12" s="246" t="s">
        <v>65</v>
      </c>
      <c r="N12" s="270"/>
      <c r="O12" s="270"/>
      <c r="P12" s="271"/>
      <c r="Q12" s="272" t="s">
        <v>59</v>
      </c>
      <c r="R12" s="270"/>
      <c r="S12" s="270"/>
      <c r="T12" s="270"/>
      <c r="U12" s="273">
        <v>8371</v>
      </c>
      <c r="V12" s="274" t="s">
        <v>53</v>
      </c>
      <c r="X12" s="358" t="s">
        <v>83</v>
      </c>
      <c r="Y12" s="332">
        <f t="shared" si="0"/>
        <v>19</v>
      </c>
      <c r="Z12" s="132">
        <f>COUNTIF('출전기록 (26)'!C$2:M$39,'2026 토탈'!X12)</f>
        <v>7</v>
      </c>
      <c r="AA12" s="132">
        <f>COUNTIF('출전기록 (26)'!N$2:S$39,'2026 토탈'!X12)</f>
        <v>12</v>
      </c>
      <c r="AB12" s="333">
        <f t="shared" si="1"/>
        <v>0</v>
      </c>
      <c r="AC12" s="334">
        <f t="shared" si="2"/>
        <v>1</v>
      </c>
      <c r="AD12" s="335">
        <f t="shared" si="3"/>
        <v>1</v>
      </c>
      <c r="AE12" s="332">
        <f t="shared" si="4"/>
        <v>19</v>
      </c>
      <c r="AF12" s="132">
        <f>COUNTIF('출전기록 (26)'!W$2:AG$7,'2026 토탈'!X12)+Z12</f>
        <v>7</v>
      </c>
      <c r="AG12" s="132">
        <f>COUNTIF('출전기록 (26)'!AH$2:AM$7,'2026 토탈'!X12)+AA12</f>
        <v>12</v>
      </c>
      <c r="AH12" s="333">
        <f t="shared" si="5"/>
        <v>0</v>
      </c>
      <c r="AI12" s="334">
        <f t="shared" si="6"/>
        <v>1</v>
      </c>
      <c r="AJ12" s="335">
        <f t="shared" si="7"/>
        <v>1</v>
      </c>
      <c r="AL12" s="2" t="s">
        <v>42</v>
      </c>
      <c r="AM12" s="2" t="s">
        <v>71</v>
      </c>
      <c r="AN12" s="89">
        <f t="shared" si="13"/>
        <v>3</v>
      </c>
      <c r="AO12" s="243">
        <f t="shared" si="14"/>
        <v>0</v>
      </c>
      <c r="AP12" s="243">
        <f t="shared" si="15"/>
        <v>2</v>
      </c>
      <c r="AQ12" s="351">
        <f t="shared" si="16"/>
        <v>1</v>
      </c>
      <c r="AR12" s="352">
        <f t="shared" si="17"/>
        <v>2</v>
      </c>
      <c r="AS12" s="23"/>
      <c r="AT12" s="2">
        <f t="shared" si="18"/>
        <v>1</v>
      </c>
      <c r="AU12" s="2">
        <f t="shared" si="19"/>
        <v>2</v>
      </c>
      <c r="AV12" s="2">
        <f t="shared" si="20"/>
        <v>-1</v>
      </c>
      <c r="BA12" s="464" t="s">
        <v>84</v>
      </c>
      <c r="BB12" s="464">
        <f t="shared" si="9"/>
        <v>2</v>
      </c>
      <c r="BC12" s="243">
        <f t="shared" si="10"/>
        <v>2</v>
      </c>
      <c r="BD12" s="465">
        <f t="shared" si="10"/>
        <v>0</v>
      </c>
      <c r="BE12" s="342">
        <f t="shared" si="10"/>
        <v>0</v>
      </c>
      <c r="BF12" s="89">
        <f t="shared" si="11"/>
        <v>6</v>
      </c>
      <c r="BG12" s="11">
        <f t="shared" si="12"/>
        <v>1</v>
      </c>
      <c r="BI12" s="479">
        <v>10</v>
      </c>
      <c r="BJ12" s="479" t="s">
        <v>358</v>
      </c>
      <c r="BK12" s="479">
        <v>33</v>
      </c>
      <c r="BL12" s="479">
        <v>5</v>
      </c>
      <c r="BM12" s="479">
        <v>19</v>
      </c>
      <c r="BN12" s="479">
        <v>9</v>
      </c>
      <c r="BO12" s="479">
        <v>33</v>
      </c>
      <c r="BP12" s="479">
        <v>41</v>
      </c>
      <c r="BQ12" s="479">
        <f>BO12-BP12</f>
        <v>-8</v>
      </c>
      <c r="BR12" s="479">
        <v>34</v>
      </c>
    </row>
    <row r="13" spans="1:77">
      <c r="A13" s="246" t="s">
        <v>338</v>
      </c>
      <c r="B13" s="406" t="s">
        <v>368</v>
      </c>
      <c r="C13" s="407" t="s">
        <v>340</v>
      </c>
      <c r="D13" s="266">
        <v>11</v>
      </c>
      <c r="E13" s="267" t="s">
        <v>369</v>
      </c>
      <c r="F13" s="268" t="s">
        <v>342</v>
      </c>
      <c r="G13" s="266">
        <v>0</v>
      </c>
      <c r="H13" s="266">
        <v>1</v>
      </c>
      <c r="I13" s="462" t="s">
        <v>343</v>
      </c>
      <c r="J13" s="374"/>
      <c r="K13" s="266"/>
      <c r="L13" s="269"/>
      <c r="M13" s="246"/>
      <c r="N13" s="270"/>
      <c r="O13" s="270"/>
      <c r="P13" s="271"/>
      <c r="Q13" s="272"/>
      <c r="R13" s="270"/>
      <c r="S13" s="270"/>
      <c r="T13" s="270"/>
      <c r="U13" s="273">
        <v>11404</v>
      </c>
      <c r="V13" s="274" t="s">
        <v>82</v>
      </c>
      <c r="X13" s="327" t="s">
        <v>85</v>
      </c>
      <c r="Y13" s="332">
        <f t="shared" si="0"/>
        <v>9</v>
      </c>
      <c r="Z13" s="132">
        <f>COUNTIF('출전기록 (26)'!C$2:M$39,'2026 토탈'!X13)</f>
        <v>2</v>
      </c>
      <c r="AA13" s="132">
        <f>COUNTIF('출전기록 (26)'!N$2:S$39,'2026 토탈'!X13)</f>
        <v>7</v>
      </c>
      <c r="AB13" s="333">
        <f t="shared" si="1"/>
        <v>0</v>
      </c>
      <c r="AC13" s="334">
        <f t="shared" si="2"/>
        <v>0</v>
      </c>
      <c r="AD13" s="335">
        <f t="shared" si="3"/>
        <v>0</v>
      </c>
      <c r="AE13" s="332">
        <f t="shared" si="4"/>
        <v>9</v>
      </c>
      <c r="AF13" s="132">
        <f>COUNTIF('출전기록 (26)'!W$2:AG$7,'2026 토탈'!X13)+Z13</f>
        <v>2</v>
      </c>
      <c r="AG13" s="132">
        <f>COUNTIF('출전기록 (26)'!AH$2:AM$7,'2026 토탈'!X13)+AA13</f>
        <v>7</v>
      </c>
      <c r="AH13" s="333">
        <f t="shared" si="5"/>
        <v>0</v>
      </c>
      <c r="AI13" s="334">
        <f t="shared" si="6"/>
        <v>0</v>
      </c>
      <c r="AJ13" s="335">
        <f t="shared" si="7"/>
        <v>0</v>
      </c>
      <c r="AL13" s="2" t="s">
        <v>42</v>
      </c>
      <c r="AM13" s="2" t="s">
        <v>48</v>
      </c>
      <c r="AN13" s="89">
        <f t="shared" si="13"/>
        <v>3</v>
      </c>
      <c r="AO13" s="243">
        <f t="shared" si="14"/>
        <v>2</v>
      </c>
      <c r="AP13" s="243">
        <f t="shared" si="15"/>
        <v>0</v>
      </c>
      <c r="AQ13" s="351">
        <f t="shared" si="16"/>
        <v>1</v>
      </c>
      <c r="AR13" s="352">
        <f t="shared" si="17"/>
        <v>6</v>
      </c>
      <c r="AS13" s="23">
        <f>AO13/AN13</f>
        <v>0.66666666666666663</v>
      </c>
      <c r="AT13" s="2">
        <f t="shared" si="18"/>
        <v>7</v>
      </c>
      <c r="AU13" s="2">
        <f t="shared" si="19"/>
        <v>3</v>
      </c>
      <c r="AV13" s="2">
        <f t="shared" si="20"/>
        <v>4</v>
      </c>
      <c r="BA13" s="464" t="s">
        <v>86</v>
      </c>
      <c r="BB13" s="464">
        <f t="shared" si="9"/>
        <v>2</v>
      </c>
      <c r="BC13" s="243">
        <f t="shared" si="10"/>
        <v>1</v>
      </c>
      <c r="BD13" s="465">
        <f t="shared" si="10"/>
        <v>1</v>
      </c>
      <c r="BE13" s="342">
        <f t="shared" si="10"/>
        <v>0</v>
      </c>
      <c r="BF13" s="89">
        <f t="shared" si="11"/>
        <v>4</v>
      </c>
      <c r="BG13" s="11">
        <f t="shared" si="12"/>
        <v>0.5</v>
      </c>
      <c r="BI13" s="479">
        <v>11</v>
      </c>
      <c r="BJ13" s="479" t="s">
        <v>362</v>
      </c>
      <c r="BK13" s="479">
        <v>33</v>
      </c>
      <c r="BL13" s="479">
        <v>7</v>
      </c>
      <c r="BM13" s="479">
        <v>11</v>
      </c>
      <c r="BN13" s="479">
        <v>15</v>
      </c>
      <c r="BO13" s="479">
        <v>32</v>
      </c>
      <c r="BP13" s="479">
        <v>47</v>
      </c>
      <c r="BQ13" s="479">
        <f>BO13-BP13</f>
        <v>-15</v>
      </c>
      <c r="BR13" s="479">
        <v>32</v>
      </c>
    </row>
    <row r="14" spans="1:77" ht="17.5" customHeight="1">
      <c r="A14" s="367" t="s">
        <v>338</v>
      </c>
      <c r="B14" s="396" t="s">
        <v>370</v>
      </c>
      <c r="C14" s="397" t="s">
        <v>364</v>
      </c>
      <c r="D14" s="319">
        <v>12</v>
      </c>
      <c r="E14" s="352" t="s">
        <v>353</v>
      </c>
      <c r="F14" s="352" t="s">
        <v>346</v>
      </c>
      <c r="G14" s="319">
        <v>0</v>
      </c>
      <c r="H14" s="319">
        <v>0</v>
      </c>
      <c r="I14" s="463" t="s">
        <v>350</v>
      </c>
      <c r="J14" s="399"/>
      <c r="K14" s="319"/>
      <c r="L14" s="360"/>
      <c r="M14" s="367"/>
      <c r="N14" s="320"/>
      <c r="O14" s="320"/>
      <c r="P14" s="368"/>
      <c r="Q14" s="363"/>
      <c r="R14" s="320"/>
      <c r="S14" s="320"/>
      <c r="T14" s="320"/>
      <c r="U14" s="400"/>
      <c r="V14" s="312" t="s">
        <v>64</v>
      </c>
      <c r="X14" s="327" t="s">
        <v>87</v>
      </c>
      <c r="Y14" s="332">
        <f t="shared" si="0"/>
        <v>19</v>
      </c>
      <c r="Z14" s="132">
        <f>COUNTIF('출전기록 (26)'!C$2:M$39,'2026 토탈'!X14)</f>
        <v>8</v>
      </c>
      <c r="AA14" s="132">
        <f>COUNTIF('출전기록 (26)'!N$2:S$39,'2026 토탈'!X14)</f>
        <v>11</v>
      </c>
      <c r="AB14" s="333">
        <f t="shared" si="1"/>
        <v>0</v>
      </c>
      <c r="AC14" s="334">
        <f t="shared" si="2"/>
        <v>1</v>
      </c>
      <c r="AD14" s="335">
        <f t="shared" si="3"/>
        <v>1</v>
      </c>
      <c r="AE14" s="332">
        <f t="shared" si="4"/>
        <v>19</v>
      </c>
      <c r="AF14" s="132">
        <f>COUNTIF('출전기록 (26)'!W$2:AG$7,'2026 토탈'!X14)+Z14</f>
        <v>8</v>
      </c>
      <c r="AG14" s="132">
        <f>COUNTIF('출전기록 (26)'!AH$2:AM$7,'2026 토탈'!X14)+AA14</f>
        <v>11</v>
      </c>
      <c r="AH14" s="333">
        <f t="shared" si="5"/>
        <v>0</v>
      </c>
      <c r="AI14" s="334">
        <f t="shared" si="6"/>
        <v>1</v>
      </c>
      <c r="AJ14" s="335">
        <f t="shared" si="7"/>
        <v>1</v>
      </c>
      <c r="AL14" s="2" t="s">
        <v>42</v>
      </c>
      <c r="AM14" s="2" t="s">
        <v>68</v>
      </c>
      <c r="AN14" s="89">
        <f t="shared" si="13"/>
        <v>3</v>
      </c>
      <c r="AO14" s="243">
        <f t="shared" si="14"/>
        <v>1</v>
      </c>
      <c r="AP14" s="243">
        <f t="shared" si="15"/>
        <v>0</v>
      </c>
      <c r="AQ14" s="351">
        <f t="shared" si="16"/>
        <v>2</v>
      </c>
      <c r="AR14" s="352">
        <f t="shared" si="17"/>
        <v>3</v>
      </c>
      <c r="AS14" s="23">
        <f>AO14/AN14</f>
        <v>0.33333333333333331</v>
      </c>
      <c r="AT14" s="2">
        <f t="shared" si="18"/>
        <v>2</v>
      </c>
      <c r="AU14" s="2">
        <f t="shared" si="19"/>
        <v>3</v>
      </c>
      <c r="AV14" s="2">
        <f t="shared" si="20"/>
        <v>-1</v>
      </c>
      <c r="BA14" s="464" t="s">
        <v>88</v>
      </c>
      <c r="BB14" s="464">
        <f t="shared" si="9"/>
        <v>2</v>
      </c>
      <c r="BC14" s="243">
        <f t="shared" si="10"/>
        <v>0</v>
      </c>
      <c r="BD14" s="465">
        <f t="shared" si="10"/>
        <v>2</v>
      </c>
      <c r="BE14" s="342">
        <f t="shared" si="10"/>
        <v>0</v>
      </c>
      <c r="BF14" s="89">
        <f t="shared" si="11"/>
        <v>2</v>
      </c>
      <c r="BG14" s="11">
        <f t="shared" si="12"/>
        <v>0</v>
      </c>
      <c r="BI14" s="472">
        <v>12</v>
      </c>
      <c r="BJ14" s="472" t="s">
        <v>345</v>
      </c>
      <c r="BK14" s="472">
        <v>33</v>
      </c>
      <c r="BL14" s="472">
        <v>3</v>
      </c>
      <c r="BM14" s="472">
        <v>12</v>
      </c>
      <c r="BN14" s="472">
        <v>18</v>
      </c>
      <c r="BO14" s="472">
        <v>30</v>
      </c>
      <c r="BP14" s="472">
        <v>69</v>
      </c>
      <c r="BQ14" s="472">
        <f>BO14-BP14</f>
        <v>-39</v>
      </c>
      <c r="BR14" s="472">
        <v>21</v>
      </c>
    </row>
    <row r="15" spans="1:77" ht="17.5" customHeight="1">
      <c r="A15" s="367" t="s">
        <v>338</v>
      </c>
      <c r="B15" s="396" t="s">
        <v>371</v>
      </c>
      <c r="C15" s="397" t="s">
        <v>340</v>
      </c>
      <c r="D15" s="319">
        <v>13</v>
      </c>
      <c r="E15" s="352" t="s">
        <v>358</v>
      </c>
      <c r="F15" s="352" t="s">
        <v>346</v>
      </c>
      <c r="G15" s="319">
        <v>3</v>
      </c>
      <c r="H15" s="319">
        <v>0</v>
      </c>
      <c r="I15" s="463" t="s">
        <v>356</v>
      </c>
      <c r="J15" s="399"/>
      <c r="K15" s="319"/>
      <c r="L15" s="360"/>
      <c r="M15" s="367" t="s">
        <v>89</v>
      </c>
      <c r="N15" s="320" t="s">
        <v>59</v>
      </c>
      <c r="O15" s="320" t="s">
        <v>65</v>
      </c>
      <c r="P15" s="368"/>
      <c r="Q15" s="363" t="s">
        <v>73</v>
      </c>
      <c r="R15" s="320"/>
      <c r="S15" s="320"/>
      <c r="T15" s="320"/>
      <c r="U15" s="402"/>
      <c r="V15" s="403" t="s">
        <v>79</v>
      </c>
      <c r="X15" s="358" t="s">
        <v>90</v>
      </c>
      <c r="Y15" s="332">
        <f t="shared" si="0"/>
        <v>1</v>
      </c>
      <c r="Z15" s="132">
        <f>COUNTIF('출전기록 (26)'!C$2:M$39,'2026 토탈'!X15)</f>
        <v>1</v>
      </c>
      <c r="AA15" s="132">
        <f>COUNTIF('출전기록 (26)'!N$2:S$39,'2026 토탈'!X15)</f>
        <v>0</v>
      </c>
      <c r="AB15" s="333">
        <f t="shared" si="1"/>
        <v>0</v>
      </c>
      <c r="AC15" s="334">
        <f t="shared" si="2"/>
        <v>0</v>
      </c>
      <c r="AD15" s="335">
        <f t="shared" si="3"/>
        <v>0</v>
      </c>
      <c r="AE15" s="332">
        <f t="shared" si="4"/>
        <v>1</v>
      </c>
      <c r="AF15" s="132">
        <f>COUNTIF('출전기록 (26)'!W$2:AG$7,'2026 토탈'!X15)+Z15</f>
        <v>1</v>
      </c>
      <c r="AG15" s="132">
        <f>COUNTIF('출전기록 (26)'!AH$2:AM$7,'2026 토탈'!X15)+AA15</f>
        <v>0</v>
      </c>
      <c r="AH15" s="333">
        <f t="shared" si="5"/>
        <v>0</v>
      </c>
      <c r="AI15" s="334">
        <f t="shared" si="6"/>
        <v>0</v>
      </c>
      <c r="AJ15" s="335">
        <f t="shared" si="7"/>
        <v>0</v>
      </c>
      <c r="AL15" s="2" t="s">
        <v>42</v>
      </c>
      <c r="AM15" s="2" t="s">
        <v>55</v>
      </c>
      <c r="AN15" s="89">
        <f t="shared" si="13"/>
        <v>3</v>
      </c>
      <c r="AO15" s="243">
        <f t="shared" si="14"/>
        <v>1</v>
      </c>
      <c r="AP15" s="243">
        <f t="shared" si="15"/>
        <v>0</v>
      </c>
      <c r="AQ15" s="351">
        <f t="shared" si="16"/>
        <v>2</v>
      </c>
      <c r="AR15" s="352">
        <f t="shared" si="17"/>
        <v>3</v>
      </c>
      <c r="AS15" s="23">
        <f>AO15/AN15</f>
        <v>0.33333333333333331</v>
      </c>
      <c r="AT15" s="2">
        <f t="shared" si="18"/>
        <v>4</v>
      </c>
      <c r="AU15" s="2">
        <f t="shared" si="19"/>
        <v>5</v>
      </c>
      <c r="AV15" s="2">
        <f t="shared" si="20"/>
        <v>-1</v>
      </c>
      <c r="BA15" s="466" t="s">
        <v>60</v>
      </c>
      <c r="BB15" s="466">
        <f>SUM(BB3:BB14)</f>
        <v>33</v>
      </c>
      <c r="BC15" s="243">
        <f>SUM(BC3:BC14)</f>
        <v>12</v>
      </c>
      <c r="BD15" s="467">
        <f>SUM(BD3:BD14)</f>
        <v>10</v>
      </c>
      <c r="BE15" s="468">
        <f>SUM(BE3:BE14)</f>
        <v>11</v>
      </c>
      <c r="BF15" s="89">
        <f>SUM(BF3:BF14)</f>
        <v>46</v>
      </c>
      <c r="BG15" s="11">
        <f t="shared" si="12"/>
        <v>0.36363636363636365</v>
      </c>
      <c r="BI15" s="476" t="s">
        <v>91</v>
      </c>
      <c r="BJ15" s="477"/>
      <c r="BK15" s="477"/>
      <c r="BL15" s="477"/>
      <c r="BM15" s="477"/>
      <c r="BN15" s="477"/>
      <c r="BO15" s="477"/>
      <c r="BP15" s="477"/>
      <c r="BQ15" s="477"/>
      <c r="BR15" s="477"/>
    </row>
    <row r="16" spans="1:77">
      <c r="A16" s="367" t="s">
        <v>338</v>
      </c>
      <c r="B16" s="396" t="s">
        <v>372</v>
      </c>
      <c r="C16" s="397" t="s">
        <v>364</v>
      </c>
      <c r="D16" s="319">
        <v>14</v>
      </c>
      <c r="E16" s="352" t="s">
        <v>349</v>
      </c>
      <c r="F16" s="401" t="s">
        <v>342</v>
      </c>
      <c r="G16" s="319">
        <v>0</v>
      </c>
      <c r="H16" s="319">
        <v>1</v>
      </c>
      <c r="I16" s="463" t="s">
        <v>343</v>
      </c>
      <c r="J16" s="399"/>
      <c r="K16" s="319"/>
      <c r="L16" s="360"/>
      <c r="M16" s="367"/>
      <c r="N16" s="320"/>
      <c r="O16" s="320"/>
      <c r="P16" s="368"/>
      <c r="Q16" s="363"/>
      <c r="R16" s="320"/>
      <c r="S16" s="320"/>
      <c r="T16" s="320"/>
      <c r="U16" s="400">
        <v>6620</v>
      </c>
      <c r="V16" s="312" t="s">
        <v>58</v>
      </c>
      <c r="X16" s="327" t="s">
        <v>92</v>
      </c>
      <c r="Y16" s="332">
        <f t="shared" si="0"/>
        <v>1</v>
      </c>
      <c r="Z16" s="132">
        <f>COUNTIF('출전기록 (26)'!C$2:M$39,'2026 토탈'!X16)</f>
        <v>0</v>
      </c>
      <c r="AA16" s="132">
        <f>COUNTIF('출전기록 (26)'!N$2:S$39,'2026 토탈'!X16)</f>
        <v>1</v>
      </c>
      <c r="AB16" s="333">
        <f t="shared" si="1"/>
        <v>0</v>
      </c>
      <c r="AC16" s="334">
        <f t="shared" si="2"/>
        <v>0</v>
      </c>
      <c r="AD16" s="335">
        <f t="shared" si="3"/>
        <v>0</v>
      </c>
      <c r="AE16" s="332">
        <f t="shared" si="4"/>
        <v>1</v>
      </c>
      <c r="AF16" s="132">
        <f>COUNTIF('출전기록 (26)'!W$2:AG$7,'2026 토탈'!X16)+Z16</f>
        <v>0</v>
      </c>
      <c r="AG16" s="132">
        <f>COUNTIF('출전기록 (26)'!AH$2:AM$7,'2026 토탈'!X16)+AA16</f>
        <v>1</v>
      </c>
      <c r="AH16" s="333">
        <f t="shared" si="5"/>
        <v>0</v>
      </c>
      <c r="AI16" s="334">
        <f t="shared" si="6"/>
        <v>0</v>
      </c>
      <c r="AJ16" s="335">
        <f t="shared" si="7"/>
        <v>0</v>
      </c>
      <c r="AL16" s="2" t="s">
        <v>42</v>
      </c>
      <c r="AM16" s="2" t="s">
        <v>77</v>
      </c>
      <c r="AN16" s="89">
        <f t="shared" si="13"/>
        <v>3</v>
      </c>
      <c r="AO16" s="243">
        <f t="shared" si="14"/>
        <v>2</v>
      </c>
      <c r="AP16" s="243">
        <f t="shared" si="15"/>
        <v>1</v>
      </c>
      <c r="AQ16" s="351">
        <f t="shared" si="16"/>
        <v>0</v>
      </c>
      <c r="AR16" s="352">
        <f t="shared" si="17"/>
        <v>7</v>
      </c>
      <c r="AS16" s="23">
        <f>AO16/AN16</f>
        <v>0.66666666666666663</v>
      </c>
      <c r="AT16" s="2">
        <f t="shared" si="18"/>
        <v>7</v>
      </c>
      <c r="AU16" s="2">
        <f t="shared" si="19"/>
        <v>4</v>
      </c>
      <c r="AV16" s="2">
        <f t="shared" si="20"/>
        <v>3</v>
      </c>
    </row>
    <row r="17" spans="1:48">
      <c r="A17" s="367" t="s">
        <v>338</v>
      </c>
      <c r="B17" s="396" t="s">
        <v>373</v>
      </c>
      <c r="C17" s="397" t="s">
        <v>340</v>
      </c>
      <c r="D17" s="319">
        <v>15</v>
      </c>
      <c r="E17" s="352" t="s">
        <v>345</v>
      </c>
      <c r="F17" s="401" t="s">
        <v>342</v>
      </c>
      <c r="G17" s="319">
        <v>4</v>
      </c>
      <c r="H17" s="319">
        <v>0</v>
      </c>
      <c r="I17" s="463" t="s">
        <v>356</v>
      </c>
      <c r="J17" s="399"/>
      <c r="K17" s="319"/>
      <c r="L17" s="360"/>
      <c r="M17" s="367" t="s">
        <v>89</v>
      </c>
      <c r="N17" s="320" t="s">
        <v>65</v>
      </c>
      <c r="O17" s="320" t="s">
        <v>70</v>
      </c>
      <c r="P17" s="368" t="s">
        <v>81</v>
      </c>
      <c r="Q17" s="363" t="s">
        <v>63</v>
      </c>
      <c r="R17" s="320" t="s">
        <v>81</v>
      </c>
      <c r="S17" s="320" t="s">
        <v>59</v>
      </c>
      <c r="T17" s="320"/>
      <c r="U17" s="400">
        <v>11128</v>
      </c>
      <c r="V17" s="312" t="s">
        <v>84</v>
      </c>
      <c r="X17" s="327" t="s">
        <v>93</v>
      </c>
      <c r="Y17" s="332">
        <f t="shared" si="0"/>
        <v>1</v>
      </c>
      <c r="Z17" s="132">
        <f>COUNTIF('출전기록 (26)'!C$2:M$39,'2026 토탈'!X17)</f>
        <v>0</v>
      </c>
      <c r="AA17" s="132">
        <f>COUNTIF('출전기록 (26)'!N$2:S$39,'2026 토탈'!X17)</f>
        <v>1</v>
      </c>
      <c r="AB17" s="333">
        <f t="shared" si="1"/>
        <v>0</v>
      </c>
      <c r="AC17" s="334">
        <f t="shared" si="2"/>
        <v>0</v>
      </c>
      <c r="AD17" s="335">
        <f t="shared" si="3"/>
        <v>0</v>
      </c>
      <c r="AE17" s="332">
        <f t="shared" si="4"/>
        <v>1</v>
      </c>
      <c r="AF17" s="132">
        <f>COUNTIF('출전기록 (26)'!W$2:AG$7,'2026 토탈'!X17)+Z17</f>
        <v>0</v>
      </c>
      <c r="AG17" s="132">
        <f>COUNTIF('출전기록 (26)'!AH$2:AM$7,'2026 토탈'!X17)+AA17</f>
        <v>1</v>
      </c>
      <c r="AH17" s="333">
        <f t="shared" si="5"/>
        <v>0</v>
      </c>
      <c r="AI17" s="334">
        <f t="shared" si="6"/>
        <v>0</v>
      </c>
      <c r="AJ17" s="335">
        <f t="shared" si="7"/>
        <v>0</v>
      </c>
      <c r="AL17" s="2" t="s">
        <v>42</v>
      </c>
      <c r="AM17" s="2" t="s">
        <v>78</v>
      </c>
      <c r="AN17" s="89">
        <f t="shared" si="13"/>
        <v>3</v>
      </c>
      <c r="AO17" s="243">
        <f t="shared" si="14"/>
        <v>1</v>
      </c>
      <c r="AP17" s="243">
        <f t="shared" si="15"/>
        <v>2</v>
      </c>
      <c r="AQ17" s="351">
        <f t="shared" si="16"/>
        <v>0</v>
      </c>
      <c r="AR17" s="352">
        <f t="shared" si="17"/>
        <v>5</v>
      </c>
      <c r="AS17" s="23">
        <f>AO17/AN17</f>
        <v>0.33333333333333331</v>
      </c>
      <c r="AT17" s="2">
        <f t="shared" si="18"/>
        <v>5</v>
      </c>
      <c r="AU17" s="2">
        <f t="shared" si="19"/>
        <v>4</v>
      </c>
      <c r="AV17" s="2">
        <f t="shared" si="20"/>
        <v>1</v>
      </c>
    </row>
    <row r="18" spans="1:48">
      <c r="A18" s="367" t="s">
        <v>338</v>
      </c>
      <c r="B18" s="396" t="s">
        <v>374</v>
      </c>
      <c r="C18" s="397" t="s">
        <v>348</v>
      </c>
      <c r="D18" s="319">
        <v>16</v>
      </c>
      <c r="E18" s="352" t="s">
        <v>341</v>
      </c>
      <c r="F18" s="352" t="s">
        <v>346</v>
      </c>
      <c r="G18" s="319">
        <v>0</v>
      </c>
      <c r="H18" s="319">
        <v>1</v>
      </c>
      <c r="I18" s="463" t="s">
        <v>343</v>
      </c>
      <c r="J18" s="399"/>
      <c r="K18" s="319"/>
      <c r="L18" s="360"/>
      <c r="M18" s="367"/>
      <c r="N18" s="320"/>
      <c r="O18" s="320"/>
      <c r="P18" s="368"/>
      <c r="Q18" s="363"/>
      <c r="R18" s="320"/>
      <c r="S18" s="320"/>
      <c r="T18" s="320"/>
      <c r="U18" s="400"/>
      <c r="V18" s="312" t="s">
        <v>79</v>
      </c>
      <c r="X18" s="327" t="s">
        <v>94</v>
      </c>
      <c r="Y18" s="332">
        <f t="shared" si="0"/>
        <v>6</v>
      </c>
      <c r="Z18" s="132">
        <f>COUNTIF('출전기록 (26)'!C$2:M$39,'2026 토탈'!X18)</f>
        <v>2</v>
      </c>
      <c r="AA18" s="132">
        <f>COUNTIF('출전기록 (26)'!N$2:S$39,'2026 토탈'!X18)</f>
        <v>4</v>
      </c>
      <c r="AB18" s="333">
        <f t="shared" si="1"/>
        <v>0</v>
      </c>
      <c r="AC18" s="334">
        <f t="shared" si="2"/>
        <v>1</v>
      </c>
      <c r="AD18" s="335">
        <f t="shared" si="3"/>
        <v>1</v>
      </c>
      <c r="AE18" s="332">
        <f t="shared" si="4"/>
        <v>6</v>
      </c>
      <c r="AF18" s="132">
        <f>COUNTIF('출전기록 (26)'!W$2:AG$7,'2026 토탈'!X18)+Z18</f>
        <v>2</v>
      </c>
      <c r="AG18" s="132">
        <f>COUNTIF('출전기록 (26)'!AH$2:AM$7,'2026 토탈'!X18)+AA18</f>
        <v>4</v>
      </c>
      <c r="AH18" s="333">
        <f t="shared" si="5"/>
        <v>0</v>
      </c>
      <c r="AI18" s="334">
        <f t="shared" si="6"/>
        <v>1</v>
      </c>
      <c r="AJ18" s="335">
        <f t="shared" si="7"/>
        <v>1</v>
      </c>
    </row>
    <row r="19" spans="1:48">
      <c r="A19" s="367" t="s">
        <v>338</v>
      </c>
      <c r="B19" s="396" t="s">
        <v>375</v>
      </c>
      <c r="C19" s="397" t="s">
        <v>348</v>
      </c>
      <c r="D19" s="319">
        <v>17</v>
      </c>
      <c r="E19" s="352" t="s">
        <v>355</v>
      </c>
      <c r="F19" s="401" t="s">
        <v>342</v>
      </c>
      <c r="G19" s="319">
        <v>0</v>
      </c>
      <c r="H19" s="319">
        <v>1</v>
      </c>
      <c r="I19" s="463" t="s">
        <v>343</v>
      </c>
      <c r="J19" s="399"/>
      <c r="K19" s="319"/>
      <c r="L19" s="360"/>
      <c r="M19" s="367"/>
      <c r="N19" s="320"/>
      <c r="O19" s="320"/>
      <c r="P19" s="368"/>
      <c r="Q19" s="363"/>
      <c r="R19" s="320"/>
      <c r="S19" s="320"/>
      <c r="T19" s="320"/>
      <c r="U19" s="400">
        <v>10616</v>
      </c>
      <c r="V19" s="312" t="s">
        <v>74</v>
      </c>
      <c r="X19" s="327" t="s">
        <v>95</v>
      </c>
      <c r="Y19" s="332">
        <f t="shared" si="0"/>
        <v>0</v>
      </c>
      <c r="Z19" s="132">
        <f>COUNTIF('출전기록 (26)'!C$2:M$39,'2026 토탈'!X19)</f>
        <v>0</v>
      </c>
      <c r="AA19" s="132">
        <f>COUNTIF('출전기록 (26)'!N$2:S$39,'2026 토탈'!X19)</f>
        <v>0</v>
      </c>
      <c r="AB19" s="333">
        <f t="shared" si="1"/>
        <v>0</v>
      </c>
      <c r="AC19" s="334">
        <f t="shared" si="2"/>
        <v>0</v>
      </c>
      <c r="AD19" s="335">
        <f t="shared" si="3"/>
        <v>0</v>
      </c>
      <c r="AE19" s="332">
        <f t="shared" si="4"/>
        <v>0</v>
      </c>
      <c r="AF19" s="132">
        <f>COUNTIF('출전기록 (26)'!W$2:AG$7,'2026 토탈'!X19)+Z19</f>
        <v>0</v>
      </c>
      <c r="AG19" s="132">
        <f>COUNTIF('출전기록 (26)'!AH$2:AM$7,'2026 토탈'!X19)+AA19</f>
        <v>0</v>
      </c>
      <c r="AH19" s="333">
        <f t="shared" si="5"/>
        <v>0</v>
      </c>
      <c r="AI19" s="334">
        <f t="shared" si="6"/>
        <v>0</v>
      </c>
      <c r="AJ19" s="335">
        <f t="shared" si="7"/>
        <v>0</v>
      </c>
    </row>
    <row r="20" spans="1:48">
      <c r="A20" s="367" t="s">
        <v>338</v>
      </c>
      <c r="B20" s="396" t="s">
        <v>376</v>
      </c>
      <c r="C20" s="397" t="s">
        <v>340</v>
      </c>
      <c r="D20" s="319">
        <v>18</v>
      </c>
      <c r="E20" s="352" t="s">
        <v>365</v>
      </c>
      <c r="F20" s="401" t="s">
        <v>342</v>
      </c>
      <c r="G20" s="319">
        <v>1</v>
      </c>
      <c r="H20" s="319">
        <v>0</v>
      </c>
      <c r="I20" s="463" t="s">
        <v>356</v>
      </c>
      <c r="J20" s="399"/>
      <c r="K20" s="319"/>
      <c r="L20" s="360"/>
      <c r="M20" s="367" t="s">
        <v>70</v>
      </c>
      <c r="N20" s="320"/>
      <c r="O20" s="320"/>
      <c r="P20" s="368"/>
      <c r="Q20" s="363"/>
      <c r="R20" s="320"/>
      <c r="S20" s="320"/>
      <c r="T20" s="320"/>
      <c r="U20" s="400">
        <v>12984</v>
      </c>
      <c r="V20" s="312" t="s">
        <v>86</v>
      </c>
      <c r="X20" s="329" t="s">
        <v>96</v>
      </c>
      <c r="Y20" s="332">
        <f t="shared" si="0"/>
        <v>14</v>
      </c>
      <c r="Z20" s="132">
        <f>COUNTIF('출전기록 (26)'!C$2:M$39,'2026 토탈'!X20)</f>
        <v>10</v>
      </c>
      <c r="AA20" s="132">
        <f>COUNTIF('출전기록 (26)'!N$2:S$39,'2026 토탈'!X20)</f>
        <v>4</v>
      </c>
      <c r="AB20" s="333">
        <f t="shared" si="1"/>
        <v>0</v>
      </c>
      <c r="AC20" s="334">
        <f t="shared" si="2"/>
        <v>0</v>
      </c>
      <c r="AD20" s="335">
        <f t="shared" si="3"/>
        <v>0</v>
      </c>
      <c r="AE20" s="332">
        <f t="shared" si="4"/>
        <v>14</v>
      </c>
      <c r="AF20" s="132">
        <f>COUNTIF('출전기록 (26)'!W$2:AG$7,'2026 토탈'!X20)+Z20</f>
        <v>10</v>
      </c>
      <c r="AG20" s="132">
        <f>COUNTIF('출전기록 (26)'!AH$2:AM$7,'2026 토탈'!X20)+AA20</f>
        <v>4</v>
      </c>
      <c r="AH20" s="333">
        <f t="shared" si="5"/>
        <v>0</v>
      </c>
      <c r="AI20" s="334">
        <f t="shared" si="6"/>
        <v>0</v>
      </c>
      <c r="AJ20" s="335">
        <f t="shared" si="7"/>
        <v>0</v>
      </c>
    </row>
    <row r="21" spans="1:48">
      <c r="A21" s="367" t="s">
        <v>338</v>
      </c>
      <c r="B21" s="396" t="s">
        <v>377</v>
      </c>
      <c r="C21" s="397" t="s">
        <v>364</v>
      </c>
      <c r="D21" s="319">
        <v>19</v>
      </c>
      <c r="E21" s="352" t="s">
        <v>360</v>
      </c>
      <c r="F21" s="352" t="s">
        <v>346</v>
      </c>
      <c r="G21" s="319">
        <v>2</v>
      </c>
      <c r="H21" s="319">
        <v>1</v>
      </c>
      <c r="I21" s="463" t="s">
        <v>356</v>
      </c>
      <c r="J21" s="399"/>
      <c r="K21" s="319"/>
      <c r="L21" s="360"/>
      <c r="M21" s="367" t="s">
        <v>65</v>
      </c>
      <c r="N21" s="320" t="s">
        <v>46</v>
      </c>
      <c r="O21" s="320"/>
      <c r="P21" s="368"/>
      <c r="Q21" s="363" t="s">
        <v>87</v>
      </c>
      <c r="R21" s="320"/>
      <c r="S21" s="320"/>
      <c r="T21" s="320"/>
      <c r="U21" s="400"/>
      <c r="V21" s="312" t="s">
        <v>76</v>
      </c>
      <c r="X21" s="329" t="s">
        <v>97</v>
      </c>
      <c r="Y21" s="332">
        <f t="shared" si="0"/>
        <v>23</v>
      </c>
      <c r="Z21" s="132">
        <f>COUNTIF('출전기록 (26)'!C$2:M$39,'2026 토탈'!X21)</f>
        <v>22</v>
      </c>
      <c r="AA21" s="132">
        <f>COUNTIF('출전기록 (26)'!N$2:S$39,'2026 토탈'!X21)</f>
        <v>1</v>
      </c>
      <c r="AB21" s="333">
        <f t="shared" si="1"/>
        <v>2</v>
      </c>
      <c r="AC21" s="334">
        <f t="shared" si="2"/>
        <v>0</v>
      </c>
      <c r="AD21" s="335">
        <f t="shared" si="3"/>
        <v>2</v>
      </c>
      <c r="AE21" s="332">
        <f t="shared" si="4"/>
        <v>23</v>
      </c>
      <c r="AF21" s="132">
        <f>COUNTIF('출전기록 (26)'!W$2:AG$7,'2026 토탈'!X21)+Z21</f>
        <v>22</v>
      </c>
      <c r="AG21" s="132">
        <f>COUNTIF('출전기록 (26)'!AH$2:AM$7,'2026 토탈'!X21)+AA21</f>
        <v>1</v>
      </c>
      <c r="AH21" s="333">
        <f t="shared" si="5"/>
        <v>2</v>
      </c>
      <c r="AI21" s="334">
        <f t="shared" si="6"/>
        <v>0</v>
      </c>
      <c r="AJ21" s="335">
        <f t="shared" si="7"/>
        <v>2</v>
      </c>
    </row>
    <row r="22" spans="1:48">
      <c r="A22" s="367" t="s">
        <v>338</v>
      </c>
      <c r="B22" s="396" t="s">
        <v>378</v>
      </c>
      <c r="C22" s="397" t="s">
        <v>348</v>
      </c>
      <c r="D22" s="319">
        <v>20</v>
      </c>
      <c r="E22" s="352" t="s">
        <v>362</v>
      </c>
      <c r="F22" s="401" t="s">
        <v>342</v>
      </c>
      <c r="G22" s="319">
        <v>1</v>
      </c>
      <c r="H22" s="319">
        <v>1</v>
      </c>
      <c r="I22" s="463" t="s">
        <v>350</v>
      </c>
      <c r="J22" s="399"/>
      <c r="K22" s="319"/>
      <c r="L22" s="360"/>
      <c r="M22" s="367" t="s">
        <v>65</v>
      </c>
      <c r="N22" s="320"/>
      <c r="O22" s="320"/>
      <c r="P22" s="368"/>
      <c r="Q22" s="363" t="s">
        <v>83</v>
      </c>
      <c r="R22" s="320"/>
      <c r="S22" s="320"/>
      <c r="T22" s="320"/>
      <c r="U22" s="400">
        <v>8623</v>
      </c>
      <c r="V22" s="312" t="s">
        <v>74</v>
      </c>
      <c r="X22" s="329" t="s">
        <v>89</v>
      </c>
      <c r="Y22" s="332">
        <f t="shared" si="0"/>
        <v>31</v>
      </c>
      <c r="Z22" s="132">
        <f>COUNTIF('출전기록 (26)'!C$2:M$39,'2026 토탈'!X22)</f>
        <v>31</v>
      </c>
      <c r="AA22" s="132">
        <f>COUNTIF('출전기록 (26)'!N$2:S$39,'2026 토탈'!X22)</f>
        <v>0</v>
      </c>
      <c r="AB22" s="333">
        <f t="shared" si="1"/>
        <v>3</v>
      </c>
      <c r="AC22" s="334">
        <f t="shared" si="2"/>
        <v>1</v>
      </c>
      <c r="AD22" s="335">
        <f t="shared" si="3"/>
        <v>4</v>
      </c>
      <c r="AE22" s="332">
        <f t="shared" si="4"/>
        <v>31</v>
      </c>
      <c r="AF22" s="132">
        <f>COUNTIF('출전기록 (26)'!W$2:AG$7,'2026 토탈'!X22)+Z22</f>
        <v>31</v>
      </c>
      <c r="AG22" s="132">
        <f>COUNTIF('출전기록 (26)'!AH$2:AM$7,'2026 토탈'!X22)+AA22</f>
        <v>0</v>
      </c>
      <c r="AH22" s="333">
        <f t="shared" si="5"/>
        <v>3</v>
      </c>
      <c r="AI22" s="334">
        <f t="shared" si="6"/>
        <v>1</v>
      </c>
      <c r="AJ22" s="335">
        <f t="shared" si="7"/>
        <v>4</v>
      </c>
    </row>
    <row r="23" spans="1:48">
      <c r="A23" s="367" t="s">
        <v>338</v>
      </c>
      <c r="B23" s="396" t="s">
        <v>379</v>
      </c>
      <c r="C23" s="397" t="s">
        <v>348</v>
      </c>
      <c r="D23" s="319">
        <v>21</v>
      </c>
      <c r="E23" s="352" t="s">
        <v>367</v>
      </c>
      <c r="F23" s="352" t="s">
        <v>346</v>
      </c>
      <c r="G23" s="319">
        <v>3</v>
      </c>
      <c r="H23" s="319">
        <v>3</v>
      </c>
      <c r="I23" s="463" t="s">
        <v>350</v>
      </c>
      <c r="J23" s="399"/>
      <c r="K23" s="319"/>
      <c r="L23" s="360"/>
      <c r="M23" s="367" t="s">
        <v>97</v>
      </c>
      <c r="N23" s="320" t="s">
        <v>97</v>
      </c>
      <c r="O23" s="320" t="s">
        <v>63</v>
      </c>
      <c r="P23" s="368"/>
      <c r="Q23" s="363" t="s">
        <v>63</v>
      </c>
      <c r="R23" s="320" t="s">
        <v>63</v>
      </c>
      <c r="S23" s="320" t="s">
        <v>81</v>
      </c>
      <c r="T23" s="320"/>
      <c r="U23" s="400"/>
      <c r="V23" s="312" t="s">
        <v>88</v>
      </c>
      <c r="X23" s="329" t="s">
        <v>52</v>
      </c>
      <c r="Y23" s="332">
        <f t="shared" si="0"/>
        <v>30</v>
      </c>
      <c r="Z23" s="132">
        <f>COUNTIF('출전기록 (26)'!C$2:M$39,'2026 토탈'!X23)</f>
        <v>30</v>
      </c>
      <c r="AA23" s="132">
        <f>COUNTIF('출전기록 (26)'!N$2:S$39,'2026 토탈'!X23)</f>
        <v>0</v>
      </c>
      <c r="AB23" s="333">
        <f t="shared" si="1"/>
        <v>0</v>
      </c>
      <c r="AC23" s="334">
        <f t="shared" si="2"/>
        <v>2</v>
      </c>
      <c r="AD23" s="335">
        <f t="shared" si="3"/>
        <v>2</v>
      </c>
      <c r="AE23" s="332">
        <f t="shared" si="4"/>
        <v>30</v>
      </c>
      <c r="AF23" s="132">
        <f>COUNTIF('출전기록 (26)'!W$2:AG$7,'2026 토탈'!X23)+Z23</f>
        <v>30</v>
      </c>
      <c r="AG23" s="132">
        <f>COUNTIF('출전기록 (26)'!AH$2:AM$7,'2026 토탈'!X23)+AA23</f>
        <v>0</v>
      </c>
      <c r="AH23" s="333">
        <f t="shared" si="5"/>
        <v>0</v>
      </c>
      <c r="AI23" s="334">
        <f t="shared" si="6"/>
        <v>2</v>
      </c>
      <c r="AJ23" s="335">
        <f t="shared" si="7"/>
        <v>2</v>
      </c>
    </row>
    <row r="24" spans="1:48">
      <c r="A24" s="367" t="s">
        <v>338</v>
      </c>
      <c r="B24" s="396" t="s">
        <v>380</v>
      </c>
      <c r="C24" s="397" t="s">
        <v>348</v>
      </c>
      <c r="D24" s="319">
        <v>22</v>
      </c>
      <c r="E24" s="352" t="s">
        <v>369</v>
      </c>
      <c r="F24" s="352" t="s">
        <v>346</v>
      </c>
      <c r="G24" s="319">
        <v>0</v>
      </c>
      <c r="H24" s="319">
        <v>0</v>
      </c>
      <c r="I24" s="398" t="s">
        <v>350</v>
      </c>
      <c r="J24" s="399"/>
      <c r="K24" s="319"/>
      <c r="L24" s="360"/>
      <c r="M24" s="367"/>
      <c r="N24" s="320"/>
      <c r="O24" s="320"/>
      <c r="P24" s="368"/>
      <c r="Q24" s="363"/>
      <c r="R24" s="320"/>
      <c r="S24" s="320"/>
      <c r="T24" s="320"/>
      <c r="U24" s="400">
        <v>5274</v>
      </c>
      <c r="V24" s="312" t="s">
        <v>86</v>
      </c>
      <c r="X24" s="329" t="s">
        <v>63</v>
      </c>
      <c r="Y24" s="332">
        <f t="shared" si="0"/>
        <v>32</v>
      </c>
      <c r="Z24" s="132">
        <f>COUNTIF('출전기록 (26)'!C$2:M$39,'2026 토탈'!X24)</f>
        <v>29</v>
      </c>
      <c r="AA24" s="132">
        <f>COUNTIF('출전기록 (26)'!N$2:S$39,'2026 토탈'!X24)</f>
        <v>3</v>
      </c>
      <c r="AB24" s="333">
        <f t="shared" si="1"/>
        <v>1</v>
      </c>
      <c r="AC24" s="334">
        <f t="shared" si="2"/>
        <v>4</v>
      </c>
      <c r="AD24" s="335">
        <f t="shared" si="3"/>
        <v>5</v>
      </c>
      <c r="AE24" s="332">
        <f t="shared" si="4"/>
        <v>32</v>
      </c>
      <c r="AF24" s="132">
        <f>COUNTIF('출전기록 (26)'!W$2:AG$7,'2026 토탈'!X24)+Z24</f>
        <v>29</v>
      </c>
      <c r="AG24" s="132">
        <f>COUNTIF('출전기록 (26)'!AH$2:AM$7,'2026 토탈'!X24)+AA24</f>
        <v>3</v>
      </c>
      <c r="AH24" s="333">
        <f t="shared" si="5"/>
        <v>1</v>
      </c>
      <c r="AI24" s="334">
        <f t="shared" si="6"/>
        <v>4</v>
      </c>
      <c r="AJ24" s="335">
        <f t="shared" si="7"/>
        <v>5</v>
      </c>
    </row>
    <row r="25" spans="1:48">
      <c r="A25" s="246" t="s">
        <v>338</v>
      </c>
      <c r="B25" s="406" t="s">
        <v>381</v>
      </c>
      <c r="C25" s="407" t="s">
        <v>348</v>
      </c>
      <c r="D25" s="266">
        <v>23</v>
      </c>
      <c r="E25" s="267" t="s">
        <v>358</v>
      </c>
      <c r="F25" s="268" t="s">
        <v>342</v>
      </c>
      <c r="G25" s="266">
        <v>1</v>
      </c>
      <c r="H25" s="266">
        <v>1</v>
      </c>
      <c r="I25" s="380" t="s">
        <v>350</v>
      </c>
      <c r="J25" s="374"/>
      <c r="K25" s="266"/>
      <c r="L25" s="269"/>
      <c r="M25" s="246" t="s">
        <v>46</v>
      </c>
      <c r="N25" s="270"/>
      <c r="O25" s="270"/>
      <c r="P25" s="271"/>
      <c r="Q25" s="272" t="s">
        <v>65</v>
      </c>
      <c r="R25" s="270"/>
      <c r="S25" s="270"/>
      <c r="T25" s="270"/>
      <c r="U25" s="273">
        <v>8013</v>
      </c>
      <c r="V25" s="274" t="s">
        <v>76</v>
      </c>
      <c r="X25" s="329" t="s">
        <v>80</v>
      </c>
      <c r="Y25" s="332">
        <f t="shared" si="0"/>
        <v>19</v>
      </c>
      <c r="Z25" s="132">
        <f>COUNTIF('출전기록 (26)'!C$2:M$39,'2026 토탈'!X25)</f>
        <v>3</v>
      </c>
      <c r="AA25" s="132">
        <f>COUNTIF('출전기록 (26)'!N$2:S$39,'2026 토탈'!X25)</f>
        <v>16</v>
      </c>
      <c r="AB25" s="333">
        <f t="shared" si="1"/>
        <v>0</v>
      </c>
      <c r="AC25" s="334">
        <f t="shared" si="2"/>
        <v>1</v>
      </c>
      <c r="AD25" s="335">
        <f t="shared" si="3"/>
        <v>1</v>
      </c>
      <c r="AE25" s="332">
        <f t="shared" si="4"/>
        <v>19</v>
      </c>
      <c r="AF25" s="132">
        <f>COUNTIF('출전기록 (26)'!W$2:AG$7,'2026 토탈'!X25)+Z25</f>
        <v>3</v>
      </c>
      <c r="AG25" s="132">
        <f>COUNTIF('출전기록 (26)'!AH$2:AM$7,'2026 토탈'!X25)+AA25</f>
        <v>16</v>
      </c>
      <c r="AH25" s="333">
        <f t="shared" si="5"/>
        <v>0</v>
      </c>
      <c r="AI25" s="334">
        <f t="shared" si="6"/>
        <v>1</v>
      </c>
      <c r="AJ25" s="335">
        <f t="shared" si="7"/>
        <v>1</v>
      </c>
    </row>
    <row r="26" spans="1:48">
      <c r="A26" s="246" t="s">
        <v>338</v>
      </c>
      <c r="B26" s="406" t="s">
        <v>382</v>
      </c>
      <c r="C26" s="407" t="s">
        <v>348</v>
      </c>
      <c r="D26" s="266">
        <v>24</v>
      </c>
      <c r="E26" s="267" t="s">
        <v>345</v>
      </c>
      <c r="F26" s="267" t="s">
        <v>346</v>
      </c>
      <c r="G26" s="266">
        <v>1</v>
      </c>
      <c r="H26" s="266">
        <v>0</v>
      </c>
      <c r="I26" s="380" t="s">
        <v>356</v>
      </c>
      <c r="J26" s="374"/>
      <c r="K26" s="266"/>
      <c r="L26" s="269"/>
      <c r="M26" s="246" t="s">
        <v>46</v>
      </c>
      <c r="N26" s="270"/>
      <c r="O26" s="270"/>
      <c r="P26" s="271"/>
      <c r="Q26" s="272"/>
      <c r="R26" s="270"/>
      <c r="S26" s="270"/>
      <c r="T26" s="270"/>
      <c r="U26" s="273"/>
      <c r="V26" s="274" t="s">
        <v>64</v>
      </c>
      <c r="X26" s="329" t="s">
        <v>98</v>
      </c>
      <c r="Y26" s="332">
        <f t="shared" si="0"/>
        <v>5</v>
      </c>
      <c r="Z26" s="132">
        <f>COUNTIF('출전기록 (26)'!C$2:M$39,'2026 토탈'!X26)</f>
        <v>2</v>
      </c>
      <c r="AA26" s="132">
        <f>COUNTIF('출전기록 (26)'!N$2:S$39,'2026 토탈'!X26)</f>
        <v>3</v>
      </c>
      <c r="AB26" s="333">
        <f t="shared" si="1"/>
        <v>0</v>
      </c>
      <c r="AC26" s="334">
        <f t="shared" si="2"/>
        <v>0</v>
      </c>
      <c r="AD26" s="335">
        <f t="shared" si="3"/>
        <v>0</v>
      </c>
      <c r="AE26" s="332">
        <f t="shared" si="4"/>
        <v>5</v>
      </c>
      <c r="AF26" s="132">
        <f>COUNTIF('출전기록 (26)'!W$2:AG$7,'2026 토탈'!X26)+Z26</f>
        <v>2</v>
      </c>
      <c r="AG26" s="132">
        <f>COUNTIF('출전기록 (26)'!AH$2:AM$7,'2026 토탈'!X26)+AA26</f>
        <v>3</v>
      </c>
      <c r="AH26" s="333">
        <f t="shared" si="5"/>
        <v>0</v>
      </c>
      <c r="AI26" s="334">
        <f t="shared" si="6"/>
        <v>0</v>
      </c>
      <c r="AJ26" s="335">
        <f t="shared" si="7"/>
        <v>0</v>
      </c>
    </row>
    <row r="27" spans="1:48">
      <c r="A27" s="246" t="s">
        <v>338</v>
      </c>
      <c r="B27" s="406" t="s">
        <v>383</v>
      </c>
      <c r="C27" s="407" t="s">
        <v>352</v>
      </c>
      <c r="D27" s="266">
        <v>25</v>
      </c>
      <c r="E27" s="4" t="s">
        <v>355</v>
      </c>
      <c r="F27" s="267" t="s">
        <v>346</v>
      </c>
      <c r="G27" s="266">
        <v>1</v>
      </c>
      <c r="H27" s="266">
        <v>2</v>
      </c>
      <c r="I27" s="380" t="s">
        <v>343</v>
      </c>
      <c r="J27" s="374"/>
      <c r="K27" s="266"/>
      <c r="L27" s="269"/>
      <c r="M27" s="246" t="s">
        <v>59</v>
      </c>
      <c r="N27" s="270"/>
      <c r="O27" s="270"/>
      <c r="P27" s="271"/>
      <c r="Q27" s="272" t="s">
        <v>94</v>
      </c>
      <c r="R27" s="270"/>
      <c r="S27" s="270"/>
      <c r="T27" s="270"/>
      <c r="U27" s="273"/>
      <c r="V27" s="274" t="s">
        <v>47</v>
      </c>
      <c r="X27" s="329" t="s">
        <v>99</v>
      </c>
      <c r="Y27" s="332">
        <f t="shared" si="0"/>
        <v>3</v>
      </c>
      <c r="Z27" s="132">
        <f>COUNTIF('출전기록 (26)'!C$2:M$39,'2026 토탈'!X27)</f>
        <v>2</v>
      </c>
      <c r="AA27" s="132">
        <f>COUNTIF('출전기록 (26)'!N$2:S$39,'2026 토탈'!X27)</f>
        <v>1</v>
      </c>
      <c r="AB27" s="333">
        <f t="shared" si="1"/>
        <v>0</v>
      </c>
      <c r="AC27" s="334">
        <f t="shared" si="2"/>
        <v>0</v>
      </c>
      <c r="AD27" s="335">
        <f t="shared" si="3"/>
        <v>0</v>
      </c>
      <c r="AE27" s="332">
        <f t="shared" si="4"/>
        <v>3</v>
      </c>
      <c r="AF27" s="132">
        <f>COUNTIF('출전기록 (26)'!W$2:AG$7,'2026 토탈'!X27)+Z27</f>
        <v>2</v>
      </c>
      <c r="AG27" s="132">
        <f>COUNTIF('출전기록 (26)'!AH$2:AM$7,'2026 토탈'!X27)+AA27</f>
        <v>1</v>
      </c>
      <c r="AH27" s="333">
        <f t="shared" si="5"/>
        <v>0</v>
      </c>
      <c r="AI27" s="334">
        <f t="shared" si="6"/>
        <v>0</v>
      </c>
      <c r="AJ27" s="335">
        <f t="shared" si="7"/>
        <v>0</v>
      </c>
    </row>
    <row r="28" spans="1:48">
      <c r="A28" s="246" t="s">
        <v>338</v>
      </c>
      <c r="B28" s="406" t="s">
        <v>384</v>
      </c>
      <c r="C28" s="407" t="s">
        <v>348</v>
      </c>
      <c r="D28" s="266">
        <v>26</v>
      </c>
      <c r="E28" s="267" t="s">
        <v>365</v>
      </c>
      <c r="F28" s="268" t="s">
        <v>342</v>
      </c>
      <c r="G28" s="266">
        <v>1</v>
      </c>
      <c r="H28" s="266">
        <v>1</v>
      </c>
      <c r="I28" s="380" t="s">
        <v>350</v>
      </c>
      <c r="J28" s="374"/>
      <c r="K28" s="266"/>
      <c r="L28" s="269"/>
      <c r="M28" s="246" t="s">
        <v>70</v>
      </c>
      <c r="N28" s="270"/>
      <c r="O28" s="270"/>
      <c r="P28" s="271"/>
      <c r="Q28" s="272"/>
      <c r="R28" s="270"/>
      <c r="S28" s="270"/>
      <c r="T28" s="270"/>
      <c r="U28" s="273">
        <v>11056</v>
      </c>
      <c r="V28" s="274" t="s">
        <v>88</v>
      </c>
      <c r="X28" s="329" t="s">
        <v>100</v>
      </c>
      <c r="Y28" s="332">
        <f t="shared" si="0"/>
        <v>0</v>
      </c>
      <c r="Z28" s="132">
        <f>COUNTIF('출전기록 (26)'!C$2:M$39,'2026 토탈'!X28)</f>
        <v>0</v>
      </c>
      <c r="AA28" s="132">
        <f>COUNTIF('출전기록 (26)'!N$2:S$39,'2026 토탈'!X28)</f>
        <v>0</v>
      </c>
      <c r="AB28" s="333">
        <f t="shared" si="1"/>
        <v>0</v>
      </c>
      <c r="AC28" s="334">
        <f t="shared" si="2"/>
        <v>0</v>
      </c>
      <c r="AD28" s="335">
        <f t="shared" si="3"/>
        <v>0</v>
      </c>
      <c r="AE28" s="332">
        <f t="shared" si="4"/>
        <v>0</v>
      </c>
      <c r="AF28" s="132">
        <f>COUNTIF('출전기록 (26)'!W$2:AG$7,'2026 토탈'!X28)+Z28</f>
        <v>0</v>
      </c>
      <c r="AG28" s="132">
        <f>COUNTIF('출전기록 (26)'!AH$2:AM$7,'2026 토탈'!X28)+AA28</f>
        <v>0</v>
      </c>
      <c r="AH28" s="333">
        <f t="shared" si="5"/>
        <v>0</v>
      </c>
      <c r="AI28" s="334">
        <f t="shared" si="6"/>
        <v>0</v>
      </c>
      <c r="AJ28" s="335">
        <f t="shared" si="7"/>
        <v>0</v>
      </c>
    </row>
    <row r="29" spans="1:48">
      <c r="A29" s="246" t="s">
        <v>338</v>
      </c>
      <c r="B29" s="406" t="s">
        <v>385</v>
      </c>
      <c r="C29" s="407" t="s">
        <v>340</v>
      </c>
      <c r="D29" s="266">
        <v>27</v>
      </c>
      <c r="E29" s="267" t="s">
        <v>341</v>
      </c>
      <c r="F29" s="267" t="s">
        <v>346</v>
      </c>
      <c r="G29" s="266">
        <v>0</v>
      </c>
      <c r="H29" s="266">
        <v>1</v>
      </c>
      <c r="I29" s="380" t="s">
        <v>343</v>
      </c>
      <c r="J29" s="374"/>
      <c r="K29" s="266"/>
      <c r="L29" s="269"/>
      <c r="M29" s="246"/>
      <c r="N29" s="270"/>
      <c r="O29" s="270"/>
      <c r="P29" s="271"/>
      <c r="Q29" s="272"/>
      <c r="R29" s="270"/>
      <c r="S29" s="270"/>
      <c r="T29" s="270"/>
      <c r="U29" s="273"/>
      <c r="V29" s="274" t="s">
        <v>82</v>
      </c>
      <c r="X29" s="329" t="s">
        <v>101</v>
      </c>
      <c r="Y29" s="332">
        <f t="shared" si="0"/>
        <v>0</v>
      </c>
      <c r="Z29" s="132">
        <f>COUNTIF('출전기록 (26)'!C$2:M$39,'2026 토탈'!X29)</f>
        <v>0</v>
      </c>
      <c r="AA29" s="132">
        <f>COUNTIF('출전기록 (26)'!N$2:S$39,'2026 토탈'!X29)</f>
        <v>0</v>
      </c>
      <c r="AB29" s="333">
        <f t="shared" si="1"/>
        <v>0</v>
      </c>
      <c r="AC29" s="334">
        <f t="shared" si="2"/>
        <v>0</v>
      </c>
      <c r="AD29" s="335">
        <f t="shared" si="3"/>
        <v>0</v>
      </c>
      <c r="AE29" s="332">
        <f t="shared" si="4"/>
        <v>0</v>
      </c>
      <c r="AF29" s="132">
        <f>COUNTIF('출전기록 (26)'!W$2:AG$7,'2026 토탈'!X29)+Z29</f>
        <v>0</v>
      </c>
      <c r="AG29" s="132">
        <f>COUNTIF('출전기록 (26)'!AH$2:AM$7,'2026 토탈'!X29)+AA29</f>
        <v>0</v>
      </c>
      <c r="AH29" s="333">
        <f t="shared" si="5"/>
        <v>0</v>
      </c>
      <c r="AI29" s="334">
        <f t="shared" si="6"/>
        <v>0</v>
      </c>
      <c r="AJ29" s="335">
        <f t="shared" si="7"/>
        <v>0</v>
      </c>
    </row>
    <row r="30" spans="1:48">
      <c r="A30" s="246" t="s">
        <v>338</v>
      </c>
      <c r="B30" s="406" t="s">
        <v>386</v>
      </c>
      <c r="C30" s="407" t="s">
        <v>364</v>
      </c>
      <c r="D30" s="266">
        <v>28</v>
      </c>
      <c r="E30" s="267" t="s">
        <v>362</v>
      </c>
      <c r="F30" s="268" t="s">
        <v>342</v>
      </c>
      <c r="G30" s="266">
        <v>2</v>
      </c>
      <c r="H30" s="266">
        <v>1</v>
      </c>
      <c r="I30" s="380" t="s">
        <v>356</v>
      </c>
      <c r="J30" s="374"/>
      <c r="K30" s="266"/>
      <c r="L30" s="269"/>
      <c r="M30" s="246" t="s">
        <v>46</v>
      </c>
      <c r="N30" s="270" t="s">
        <v>89</v>
      </c>
      <c r="O30" s="270"/>
      <c r="P30" s="271"/>
      <c r="Q30" s="272" t="s">
        <v>102</v>
      </c>
      <c r="R30" s="270" t="s">
        <v>73</v>
      </c>
      <c r="S30" s="270"/>
      <c r="T30" s="270"/>
      <c r="U30" s="273">
        <v>5794</v>
      </c>
      <c r="V30" s="274" t="s">
        <v>84</v>
      </c>
      <c r="X30" s="329" t="s">
        <v>103</v>
      </c>
      <c r="Y30" s="332">
        <f t="shared" si="0"/>
        <v>0</v>
      </c>
      <c r="Z30" s="132">
        <f>COUNTIF('출전기록 (26)'!C$2:M$39,'2026 토탈'!X30)</f>
        <v>0</v>
      </c>
      <c r="AA30" s="132">
        <f>COUNTIF('출전기록 (26)'!N$2:S$39,'2026 토탈'!X30)</f>
        <v>0</v>
      </c>
      <c r="AB30" s="333">
        <f t="shared" si="1"/>
        <v>0</v>
      </c>
      <c r="AC30" s="334">
        <f t="shared" si="2"/>
        <v>0</v>
      </c>
      <c r="AD30" s="335">
        <f t="shared" si="3"/>
        <v>0</v>
      </c>
      <c r="AE30" s="332">
        <f t="shared" si="4"/>
        <v>0</v>
      </c>
      <c r="AF30" s="132">
        <f>COUNTIF('출전기록 (26)'!W$2:AG$7,'2026 토탈'!X30)+Z30</f>
        <v>0</v>
      </c>
      <c r="AG30" s="132">
        <f>COUNTIF('출전기록 (26)'!AH$2:AM$7,'2026 토탈'!X30)+AA30</f>
        <v>0</v>
      </c>
      <c r="AH30" s="333">
        <f t="shared" si="5"/>
        <v>0</v>
      </c>
      <c r="AI30" s="334">
        <f t="shared" si="6"/>
        <v>0</v>
      </c>
      <c r="AJ30" s="335">
        <f t="shared" si="7"/>
        <v>0</v>
      </c>
    </row>
    <row r="31" spans="1:48">
      <c r="A31" s="246" t="s">
        <v>338</v>
      </c>
      <c r="B31" s="406" t="s">
        <v>387</v>
      </c>
      <c r="C31" s="407" t="s">
        <v>340</v>
      </c>
      <c r="D31" s="266">
        <v>29</v>
      </c>
      <c r="E31" s="4" t="s">
        <v>360</v>
      </c>
      <c r="F31" s="267" t="s">
        <v>346</v>
      </c>
      <c r="G31" s="266">
        <v>1</v>
      </c>
      <c r="H31" s="266">
        <v>2</v>
      </c>
      <c r="I31" s="380" t="s">
        <v>343</v>
      </c>
      <c r="J31" s="374"/>
      <c r="K31" s="266"/>
      <c r="L31" s="269"/>
      <c r="M31" s="246" t="s">
        <v>46</v>
      </c>
      <c r="N31" s="270"/>
      <c r="O31" s="270"/>
      <c r="P31" s="271"/>
      <c r="Q31" s="272"/>
      <c r="R31" s="270"/>
      <c r="S31" s="270"/>
      <c r="T31" s="270"/>
      <c r="U31" s="273"/>
      <c r="V31" s="274" t="s">
        <v>64</v>
      </c>
      <c r="X31" s="329" t="s">
        <v>104</v>
      </c>
      <c r="Y31" s="332">
        <f t="shared" si="0"/>
        <v>0</v>
      </c>
      <c r="Z31" s="132">
        <f>COUNTIF('출전기록 (26)'!C$2:M$39,'2026 토탈'!X31)</f>
        <v>0</v>
      </c>
      <c r="AA31" s="132">
        <f>COUNTIF('출전기록 (26)'!N$2:S$39,'2026 토탈'!X31)</f>
        <v>0</v>
      </c>
      <c r="AB31" s="333">
        <f t="shared" si="1"/>
        <v>0</v>
      </c>
      <c r="AC31" s="334">
        <f t="shared" si="2"/>
        <v>0</v>
      </c>
      <c r="AD31" s="335">
        <f t="shared" si="3"/>
        <v>0</v>
      </c>
      <c r="AE31" s="332">
        <f t="shared" si="4"/>
        <v>0</v>
      </c>
      <c r="AF31" s="132">
        <f>COUNTIF('출전기록 (26)'!W$2:AG$7,'2026 토탈'!X31)+Z31</f>
        <v>0</v>
      </c>
      <c r="AG31" s="132">
        <f>COUNTIF('출전기록 (26)'!AH$2:AM$7,'2026 토탈'!X31)+AA31</f>
        <v>0</v>
      </c>
      <c r="AH31" s="333">
        <f t="shared" si="5"/>
        <v>0</v>
      </c>
      <c r="AI31" s="334">
        <f t="shared" si="6"/>
        <v>0</v>
      </c>
      <c r="AJ31" s="335">
        <f t="shared" si="7"/>
        <v>0</v>
      </c>
    </row>
    <row r="32" spans="1:48">
      <c r="A32" s="246" t="s">
        <v>338</v>
      </c>
      <c r="B32" s="406" t="s">
        <v>388</v>
      </c>
      <c r="C32" s="407" t="s">
        <v>348</v>
      </c>
      <c r="D32" s="266">
        <v>30</v>
      </c>
      <c r="E32" s="267" t="s">
        <v>353</v>
      </c>
      <c r="F32" s="268" t="s">
        <v>342</v>
      </c>
      <c r="G32" s="266">
        <v>1</v>
      </c>
      <c r="H32" s="266">
        <v>1</v>
      </c>
      <c r="I32" s="380" t="s">
        <v>350</v>
      </c>
      <c r="J32" s="374"/>
      <c r="K32" s="266"/>
      <c r="L32" s="269"/>
      <c r="M32" s="246" t="s">
        <v>65</v>
      </c>
      <c r="N32" s="270"/>
      <c r="O32" s="270"/>
      <c r="P32" s="271"/>
      <c r="Q32" s="272"/>
      <c r="R32" s="270"/>
      <c r="S32" s="270"/>
      <c r="T32" s="270"/>
      <c r="U32" s="273">
        <v>9312</v>
      </c>
      <c r="V32" s="274" t="s">
        <v>53</v>
      </c>
      <c r="X32" s="451" t="s">
        <v>105</v>
      </c>
      <c r="Y32" s="332">
        <f t="shared" si="0"/>
        <v>3</v>
      </c>
      <c r="Z32" s="132">
        <f>COUNTIF('출전기록 (26)'!C$2:M$39,'2026 토탈'!X32)</f>
        <v>3</v>
      </c>
      <c r="AA32" s="132">
        <f>COUNTIF('출전기록 (26)'!N$2:S$39,'2026 토탈'!X32)</f>
        <v>0</v>
      </c>
      <c r="AB32" s="333">
        <f t="shared" si="1"/>
        <v>0</v>
      </c>
      <c r="AC32" s="334">
        <f t="shared" si="2"/>
        <v>0</v>
      </c>
      <c r="AD32" s="335">
        <f t="shared" si="3"/>
        <v>0</v>
      </c>
      <c r="AE32" s="332">
        <f t="shared" si="4"/>
        <v>3</v>
      </c>
      <c r="AF32" s="132">
        <f>COUNTIF('출전기록 (26)'!W$2:AG$7,'2026 토탈'!X32)+Z32</f>
        <v>3</v>
      </c>
      <c r="AG32" s="132">
        <f>COUNTIF('출전기록 (26)'!AH$2:AM$7,'2026 토탈'!X32)+AA32</f>
        <v>0</v>
      </c>
      <c r="AH32" s="333">
        <f t="shared" si="5"/>
        <v>0</v>
      </c>
      <c r="AI32" s="334">
        <f t="shared" si="6"/>
        <v>0</v>
      </c>
      <c r="AJ32" s="335">
        <f t="shared" si="7"/>
        <v>0</v>
      </c>
    </row>
    <row r="33" spans="1:36">
      <c r="A33" s="246" t="s">
        <v>338</v>
      </c>
      <c r="B33" s="406" t="s">
        <v>389</v>
      </c>
      <c r="C33" s="407" t="s">
        <v>390</v>
      </c>
      <c r="D33" s="266">
        <v>31</v>
      </c>
      <c r="E33" s="267" t="s">
        <v>349</v>
      </c>
      <c r="F33" s="268" t="s">
        <v>342</v>
      </c>
      <c r="G33" s="266">
        <v>3</v>
      </c>
      <c r="H33" s="266">
        <v>0</v>
      </c>
      <c r="I33" s="380" t="s">
        <v>356</v>
      </c>
      <c r="J33" s="374"/>
      <c r="K33" s="266"/>
      <c r="L33" s="269"/>
      <c r="M33" s="246" t="s">
        <v>106</v>
      </c>
      <c r="N33" s="270" t="s">
        <v>81</v>
      </c>
      <c r="O33" s="270" t="s">
        <v>46</v>
      </c>
      <c r="P33" s="271"/>
      <c r="Q33" s="272" t="s">
        <v>106</v>
      </c>
      <c r="R33" s="270" t="s">
        <v>89</v>
      </c>
      <c r="S33" s="270"/>
      <c r="T33" s="270"/>
      <c r="U33" s="273">
        <v>12189</v>
      </c>
      <c r="V33" s="274" t="s">
        <v>82</v>
      </c>
      <c r="X33" s="330" t="s">
        <v>107</v>
      </c>
      <c r="Y33" s="332">
        <f t="shared" si="0"/>
        <v>29</v>
      </c>
      <c r="Z33" s="132">
        <f>COUNTIF('출전기록 (26)'!C$2:M$39,'2026 토탈'!X33)</f>
        <v>28</v>
      </c>
      <c r="AA33" s="132">
        <f>COUNTIF('출전기록 (26)'!N$2:S$39,'2026 토탈'!X33)</f>
        <v>1</v>
      </c>
      <c r="AB33" s="333">
        <f t="shared" si="1"/>
        <v>0</v>
      </c>
      <c r="AC33" s="334">
        <f t="shared" si="2"/>
        <v>0</v>
      </c>
      <c r="AD33" s="335">
        <f t="shared" si="3"/>
        <v>0</v>
      </c>
      <c r="AE33" s="332">
        <f t="shared" si="4"/>
        <v>29</v>
      </c>
      <c r="AF33" s="132">
        <f>COUNTIF('출전기록 (26)'!W$2:AG$7,'2026 토탈'!X33)+Z33</f>
        <v>28</v>
      </c>
      <c r="AG33" s="132">
        <f>COUNTIF('출전기록 (26)'!AH$2:AM$7,'2026 토탈'!X33)+AA33</f>
        <v>1</v>
      </c>
      <c r="AH33" s="333">
        <f t="shared" si="5"/>
        <v>0</v>
      </c>
      <c r="AI33" s="334">
        <f t="shared" si="6"/>
        <v>0</v>
      </c>
      <c r="AJ33" s="335">
        <f t="shared" si="7"/>
        <v>0</v>
      </c>
    </row>
    <row r="34" spans="1:36">
      <c r="A34" s="246" t="s">
        <v>338</v>
      </c>
      <c r="B34" s="406" t="s">
        <v>391</v>
      </c>
      <c r="C34" s="407" t="s">
        <v>348</v>
      </c>
      <c r="D34" s="266">
        <v>32</v>
      </c>
      <c r="E34" s="267" t="s">
        <v>369</v>
      </c>
      <c r="F34" s="267" t="s">
        <v>346</v>
      </c>
      <c r="G34" s="266">
        <v>1</v>
      </c>
      <c r="H34" s="266">
        <v>1</v>
      </c>
      <c r="I34" s="380" t="s">
        <v>350</v>
      </c>
      <c r="J34" s="374"/>
      <c r="K34" s="266"/>
      <c r="L34" s="269"/>
      <c r="M34" s="246" t="s">
        <v>46</v>
      </c>
      <c r="N34" s="270"/>
      <c r="O34" s="270"/>
      <c r="P34" s="271"/>
      <c r="Q34" s="272"/>
      <c r="R34" s="270"/>
      <c r="S34" s="270"/>
      <c r="T34" s="270"/>
      <c r="U34" s="273">
        <v>5558</v>
      </c>
      <c r="V34" s="274" t="s">
        <v>58</v>
      </c>
      <c r="X34" s="330" t="s">
        <v>108</v>
      </c>
      <c r="Y34" s="332">
        <f t="shared" si="0"/>
        <v>5</v>
      </c>
      <c r="Z34" s="132">
        <f>COUNTIF('출전기록 (26)'!C$2:M$39,'2026 토탈'!X34)</f>
        <v>5</v>
      </c>
      <c r="AA34" s="132">
        <f>COUNTIF('출전기록 (26)'!N$2:S$39,'2026 토탈'!X34)</f>
        <v>0</v>
      </c>
      <c r="AB34" s="333">
        <f t="shared" si="1"/>
        <v>0</v>
      </c>
      <c r="AC34" s="334">
        <f t="shared" si="2"/>
        <v>0</v>
      </c>
      <c r="AD34" s="335">
        <f t="shared" si="3"/>
        <v>0</v>
      </c>
      <c r="AE34" s="332">
        <f t="shared" si="4"/>
        <v>5</v>
      </c>
      <c r="AF34" s="132">
        <f>COUNTIF('출전기록 (26)'!W$2:AG$7,'2026 토탈'!X34)+Z34</f>
        <v>5</v>
      </c>
      <c r="AG34" s="132">
        <f>COUNTIF('출전기록 (26)'!AH$2:AM$7,'2026 토탈'!X34)+AA34</f>
        <v>0</v>
      </c>
      <c r="AH34" s="333">
        <f t="shared" si="5"/>
        <v>0</v>
      </c>
      <c r="AI34" s="334">
        <f t="shared" si="6"/>
        <v>0</v>
      </c>
      <c r="AJ34" s="335">
        <f t="shared" si="7"/>
        <v>0</v>
      </c>
    </row>
    <row r="35" spans="1:36">
      <c r="A35" s="246" t="s">
        <v>338</v>
      </c>
      <c r="B35" s="406" t="s">
        <v>392</v>
      </c>
      <c r="C35" s="407" t="s">
        <v>340</v>
      </c>
      <c r="D35" s="266">
        <v>33</v>
      </c>
      <c r="E35" s="267" t="s">
        <v>367</v>
      </c>
      <c r="F35" s="268" t="s">
        <v>342</v>
      </c>
      <c r="G35" s="266">
        <v>3</v>
      </c>
      <c r="H35" s="266">
        <v>1</v>
      </c>
      <c r="I35" s="380" t="s">
        <v>356</v>
      </c>
      <c r="J35" s="374"/>
      <c r="K35" s="266"/>
      <c r="L35" s="269"/>
      <c r="M35" s="246" t="s">
        <v>73</v>
      </c>
      <c r="N35" s="270" t="s">
        <v>59</v>
      </c>
      <c r="O35" s="270" t="s">
        <v>81</v>
      </c>
      <c r="P35" s="271"/>
      <c r="Q35" s="272" t="s">
        <v>46</v>
      </c>
      <c r="R35" s="270" t="s">
        <v>65</v>
      </c>
      <c r="S35" s="270"/>
      <c r="T35" s="270"/>
      <c r="U35" s="273">
        <v>11541</v>
      </c>
      <c r="V35" s="274" t="s">
        <v>79</v>
      </c>
      <c r="X35" s="330" t="s">
        <v>109</v>
      </c>
      <c r="Y35" s="332">
        <f t="shared" si="0"/>
        <v>0</v>
      </c>
      <c r="Z35" s="132">
        <f>COUNTIF('출전기록 (26)'!C$2:M$39,'2026 토탈'!X35)</f>
        <v>0</v>
      </c>
      <c r="AA35" s="132">
        <f>COUNTIF('출전기록 (26)'!N$2:S$39,'2026 토탈'!X35)</f>
        <v>0</v>
      </c>
      <c r="AB35" s="333">
        <f t="shared" si="1"/>
        <v>0</v>
      </c>
      <c r="AC35" s="334">
        <f t="shared" si="2"/>
        <v>0</v>
      </c>
      <c r="AD35" s="335">
        <f t="shared" si="3"/>
        <v>0</v>
      </c>
      <c r="AE35" s="332">
        <f t="shared" si="4"/>
        <v>0</v>
      </c>
      <c r="AF35" s="132">
        <f>COUNTIF('출전기록 (26)'!W$2:AG$7,'2026 토탈'!X35)+Z35</f>
        <v>0</v>
      </c>
      <c r="AG35" s="132">
        <f>COUNTIF('출전기록 (26)'!AH$2:AM$7,'2026 토탈'!X35)+AA35</f>
        <v>0</v>
      </c>
      <c r="AH35" s="333">
        <f t="shared" si="5"/>
        <v>0</v>
      </c>
      <c r="AI35" s="334">
        <f t="shared" si="6"/>
        <v>0</v>
      </c>
      <c r="AJ35" s="335">
        <f t="shared" si="7"/>
        <v>0</v>
      </c>
    </row>
    <row r="36" spans="1:36">
      <c r="A36" s="367" t="s">
        <v>338</v>
      </c>
      <c r="B36" s="396"/>
      <c r="C36" s="397"/>
      <c r="D36" s="319">
        <v>34</v>
      </c>
      <c r="E36" s="352"/>
      <c r="F36" s="319"/>
      <c r="G36" s="319"/>
      <c r="H36" s="319"/>
      <c r="I36" s="398"/>
      <c r="J36" s="399"/>
      <c r="K36" s="319"/>
      <c r="L36" s="360"/>
      <c r="M36" s="367"/>
      <c r="N36" s="320"/>
      <c r="O36" s="320"/>
      <c r="P36" s="368"/>
      <c r="Q36" s="363"/>
      <c r="R36" s="320"/>
      <c r="S36" s="320"/>
      <c r="T36" s="320"/>
      <c r="U36" s="400"/>
      <c r="V36" s="312"/>
      <c r="X36" s="330" t="s">
        <v>110</v>
      </c>
      <c r="Y36" s="332">
        <f t="shared" si="0"/>
        <v>0</v>
      </c>
      <c r="Z36" s="132">
        <f>COUNTIF('출전기록 (26)'!C$2:M$39,'2026 토탈'!X36)</f>
        <v>0</v>
      </c>
      <c r="AA36" s="132">
        <f>COUNTIF('출전기록 (26)'!N$2:S$39,'2026 토탈'!X36)</f>
        <v>0</v>
      </c>
      <c r="AB36" s="333">
        <f t="shared" si="1"/>
        <v>0</v>
      </c>
      <c r="AC36" s="334">
        <f t="shared" si="2"/>
        <v>0</v>
      </c>
      <c r="AD36" s="335">
        <f t="shared" si="3"/>
        <v>0</v>
      </c>
      <c r="AE36" s="332">
        <f t="shared" si="4"/>
        <v>0</v>
      </c>
      <c r="AF36" s="132">
        <f>COUNTIF('출전기록 (26)'!W$2:AG$7,'2026 토탈'!X36)+Z36</f>
        <v>0</v>
      </c>
      <c r="AG36" s="132">
        <f>COUNTIF('출전기록 (26)'!AH$2:AM$7,'2026 토탈'!X36)+AA36</f>
        <v>0</v>
      </c>
      <c r="AH36" s="333">
        <f t="shared" si="5"/>
        <v>0</v>
      </c>
      <c r="AI36" s="334">
        <f t="shared" si="6"/>
        <v>0</v>
      </c>
      <c r="AJ36" s="335">
        <f t="shared" si="7"/>
        <v>0</v>
      </c>
    </row>
    <row r="37" spans="1:36">
      <c r="A37" s="367" t="s">
        <v>338</v>
      </c>
      <c r="B37" s="396"/>
      <c r="C37" s="397"/>
      <c r="D37" s="319">
        <v>35</v>
      </c>
      <c r="E37" s="352"/>
      <c r="F37" s="319"/>
      <c r="G37" s="319"/>
      <c r="H37" s="319"/>
      <c r="I37" s="398"/>
      <c r="J37" s="399"/>
      <c r="K37" s="319"/>
      <c r="L37" s="360"/>
      <c r="M37" s="367"/>
      <c r="N37" s="320"/>
      <c r="O37" s="320"/>
      <c r="P37" s="368"/>
      <c r="Q37" s="363"/>
      <c r="R37" s="320"/>
      <c r="S37" s="320"/>
      <c r="T37" s="320"/>
      <c r="U37" s="400"/>
      <c r="V37" s="312"/>
      <c r="X37" s="356" t="s">
        <v>111</v>
      </c>
      <c r="Y37" s="332">
        <f t="shared" si="0"/>
        <v>0</v>
      </c>
      <c r="Z37" s="132">
        <f>COUNTIF('출전기록 (26)'!C$2:M$39,'2026 토탈'!X37)</f>
        <v>0</v>
      </c>
      <c r="AA37" s="132">
        <f>COUNTIF('출전기록 (26)'!N$2:S$39,'2026 토탈'!X37)</f>
        <v>0</v>
      </c>
      <c r="AB37" s="333">
        <f t="shared" si="1"/>
        <v>0</v>
      </c>
      <c r="AC37" s="334">
        <f t="shared" si="2"/>
        <v>0</v>
      </c>
      <c r="AD37" s="335">
        <f t="shared" si="3"/>
        <v>0</v>
      </c>
      <c r="AE37" s="332">
        <f t="shared" si="4"/>
        <v>0</v>
      </c>
      <c r="AF37" s="132">
        <f>COUNTIF('출전기록 (26)'!W$2:AG$7,'2026 토탈'!X37)+Z37</f>
        <v>0</v>
      </c>
      <c r="AG37" s="132">
        <f>COUNTIF('출전기록 (26)'!AH$2:AM$7,'2026 토탈'!X37)+AA37</f>
        <v>0</v>
      </c>
      <c r="AH37" s="333">
        <f t="shared" si="5"/>
        <v>0</v>
      </c>
      <c r="AI37" s="334">
        <f t="shared" si="6"/>
        <v>0</v>
      </c>
      <c r="AJ37" s="335">
        <f t="shared" si="7"/>
        <v>0</v>
      </c>
    </row>
    <row r="38" spans="1:36">
      <c r="A38" s="367" t="s">
        <v>338</v>
      </c>
      <c r="B38" s="396"/>
      <c r="C38" s="397"/>
      <c r="D38" s="319">
        <v>36</v>
      </c>
      <c r="E38" s="352"/>
      <c r="F38" s="401"/>
      <c r="G38" s="319"/>
      <c r="H38" s="319"/>
      <c r="I38" s="398"/>
      <c r="J38" s="399"/>
      <c r="K38" s="319"/>
      <c r="L38" s="360"/>
      <c r="M38" s="408"/>
      <c r="N38" s="320"/>
      <c r="O38" s="320"/>
      <c r="P38" s="368"/>
      <c r="Q38" s="363"/>
      <c r="R38" s="320"/>
      <c r="S38" s="320"/>
      <c r="T38" s="320"/>
      <c r="U38" s="400"/>
      <c r="V38" s="312"/>
      <c r="X38" s="356" t="s">
        <v>112</v>
      </c>
      <c r="Y38" s="332">
        <f t="shared" si="0"/>
        <v>0</v>
      </c>
      <c r="Z38" s="132">
        <f>COUNTIF('출전기록 (26)'!C$2:M$39,'2026 토탈'!X38)</f>
        <v>0</v>
      </c>
      <c r="AA38" s="132">
        <f>COUNTIF('출전기록 (26)'!N$2:S$39,'2026 토탈'!X38)</f>
        <v>0</v>
      </c>
      <c r="AB38" s="333">
        <f t="shared" si="1"/>
        <v>0</v>
      </c>
      <c r="AC38" s="334">
        <f t="shared" si="2"/>
        <v>0</v>
      </c>
      <c r="AD38" s="335">
        <f t="shared" si="3"/>
        <v>0</v>
      </c>
      <c r="AE38" s="332">
        <f t="shared" si="4"/>
        <v>0</v>
      </c>
      <c r="AF38" s="132">
        <f>COUNTIF('출전기록 (26)'!W$2:AG$7,'2026 토탈'!X38)+Z38</f>
        <v>0</v>
      </c>
      <c r="AG38" s="132">
        <f>COUNTIF('출전기록 (26)'!AH$2:AM$7,'2026 토탈'!X38)+AA38</f>
        <v>0</v>
      </c>
      <c r="AH38" s="333">
        <f t="shared" si="5"/>
        <v>0</v>
      </c>
      <c r="AI38" s="334">
        <f t="shared" si="6"/>
        <v>0</v>
      </c>
      <c r="AJ38" s="335">
        <f t="shared" si="7"/>
        <v>0</v>
      </c>
    </row>
    <row r="39" spans="1:36">
      <c r="A39" s="367" t="s">
        <v>338</v>
      </c>
      <c r="B39" s="396"/>
      <c r="C39" s="397"/>
      <c r="D39" s="319">
        <v>37</v>
      </c>
      <c r="E39" s="352"/>
      <c r="F39" s="401"/>
      <c r="G39" s="319"/>
      <c r="H39" s="319"/>
      <c r="I39" s="398"/>
      <c r="J39" s="399"/>
      <c r="K39" s="319"/>
      <c r="L39" s="360"/>
      <c r="M39" s="367"/>
      <c r="N39" s="320"/>
      <c r="O39" s="320"/>
      <c r="P39" s="368"/>
      <c r="Q39" s="363"/>
      <c r="R39" s="320"/>
      <c r="S39" s="320"/>
      <c r="T39" s="320"/>
      <c r="U39" s="409"/>
      <c r="V39" s="410"/>
      <c r="X39" s="356" t="s">
        <v>113</v>
      </c>
      <c r="Y39" s="332">
        <f t="shared" si="0"/>
        <v>0</v>
      </c>
      <c r="Z39" s="132">
        <f>COUNTIF('출전기록 (26)'!C$2:M$39,'2026 토탈'!X39)</f>
        <v>0</v>
      </c>
      <c r="AA39" s="132">
        <f>COUNTIF('출전기록 (26)'!N$2:S$39,'2026 토탈'!X39)</f>
        <v>0</v>
      </c>
      <c r="AB39" s="333">
        <f t="shared" si="1"/>
        <v>0</v>
      </c>
      <c r="AC39" s="334">
        <f t="shared" si="2"/>
        <v>0</v>
      </c>
      <c r="AD39" s="335">
        <f t="shared" si="3"/>
        <v>0</v>
      </c>
      <c r="AE39">
        <f t="shared" si="4"/>
        <v>0</v>
      </c>
      <c r="AF39">
        <f>COUNTIF('출전기록 (26)'!W$2:AG$7,'2026 토탈'!X39)+Z39</f>
        <v>0</v>
      </c>
      <c r="AG39">
        <f>COUNTIF('출전기록 (26)'!AH$2:AM$7,'2026 토탈'!X39)+AA39</f>
        <v>0</v>
      </c>
      <c r="AH39">
        <f t="shared" si="5"/>
        <v>0</v>
      </c>
      <c r="AI39">
        <f t="shared" si="6"/>
        <v>0</v>
      </c>
      <c r="AJ39">
        <f t="shared" si="7"/>
        <v>0</v>
      </c>
    </row>
    <row r="40" spans="1:36" ht="17.5" customHeight="1" thickBot="1">
      <c r="A40" s="411" t="s">
        <v>338</v>
      </c>
      <c r="B40" s="429"/>
      <c r="C40" s="430"/>
      <c r="D40" s="412">
        <v>38</v>
      </c>
      <c r="E40" s="413"/>
      <c r="F40" s="412"/>
      <c r="G40" s="412"/>
      <c r="H40" s="412"/>
      <c r="I40" s="414"/>
      <c r="J40" s="415"/>
      <c r="K40" s="412"/>
      <c r="L40" s="416"/>
      <c r="M40" s="411"/>
      <c r="N40" s="418"/>
      <c r="O40" s="418"/>
      <c r="P40" s="419"/>
      <c r="Q40" s="417"/>
      <c r="R40" s="418"/>
      <c r="S40" s="418"/>
      <c r="T40" s="418"/>
      <c r="U40" s="431"/>
      <c r="V40" s="420"/>
      <c r="X40" s="78" t="s">
        <v>114</v>
      </c>
      <c r="Y40" s="332">
        <f t="shared" si="0"/>
        <v>6</v>
      </c>
      <c r="Z40" s="132">
        <f>COUNTIF('출전기록 (26)'!C$2:M$39,'2026 토탈'!X40)</f>
        <v>1</v>
      </c>
      <c r="AA40" s="132">
        <f>COUNTIF('출전기록 (26)'!N$2:S$39,'2026 토탈'!X40)</f>
        <v>5</v>
      </c>
      <c r="AB40" s="333">
        <f t="shared" si="1"/>
        <v>0</v>
      </c>
      <c r="AC40" s="334">
        <f t="shared" si="2"/>
        <v>0</v>
      </c>
      <c r="AD40" s="335">
        <f t="shared" si="3"/>
        <v>0</v>
      </c>
      <c r="AE40">
        <f t="shared" si="4"/>
        <v>6</v>
      </c>
      <c r="AF40">
        <f>COUNTIF('출전기록 (26)'!W$2:AG$7,'2026 토탈'!X40)+Z40</f>
        <v>1</v>
      </c>
      <c r="AG40">
        <f>COUNTIF('출전기록 (26)'!AH$2:AM$7,'2026 토탈'!X40)+AA40</f>
        <v>5</v>
      </c>
      <c r="AH40">
        <f t="shared" si="5"/>
        <v>0</v>
      </c>
      <c r="AI40">
        <f t="shared" si="6"/>
        <v>0</v>
      </c>
      <c r="AJ40">
        <f t="shared" si="7"/>
        <v>0</v>
      </c>
    </row>
    <row r="41" spans="1:36">
      <c r="A41" s="423" t="s">
        <v>115</v>
      </c>
      <c r="B41" s="432" t="s">
        <v>116</v>
      </c>
      <c r="C41" s="433" t="s">
        <v>62</v>
      </c>
      <c r="D41" s="421" t="s">
        <v>117</v>
      </c>
      <c r="E41" s="421" t="s">
        <v>118</v>
      </c>
      <c r="F41" s="421" t="s">
        <v>45</v>
      </c>
      <c r="G41" s="421">
        <v>0</v>
      </c>
      <c r="H41" s="421">
        <v>1</v>
      </c>
      <c r="I41" s="421" t="s">
        <v>33</v>
      </c>
      <c r="J41" s="421"/>
      <c r="K41" s="421"/>
      <c r="L41" s="422"/>
      <c r="M41" s="423"/>
      <c r="N41" s="424"/>
      <c r="O41" s="424"/>
      <c r="P41" s="425"/>
      <c r="Q41" s="426"/>
      <c r="R41" s="424"/>
      <c r="S41" s="424"/>
      <c r="T41" s="424"/>
      <c r="U41" s="427">
        <v>3873</v>
      </c>
      <c r="V41" s="428" t="s">
        <v>119</v>
      </c>
      <c r="X41" s="473" t="s">
        <v>102</v>
      </c>
      <c r="Y41" s="332">
        <f t="shared" si="0"/>
        <v>10</v>
      </c>
      <c r="Z41" s="474">
        <f>COUNTIF('출전기록 (26)'!C$2:M$39,'2026 토탈'!X41)</f>
        <v>8</v>
      </c>
      <c r="AA41" s="474">
        <f>COUNTIF('출전기록 (26)'!N$2:S$39,'2026 토탈'!X41)</f>
        <v>2</v>
      </c>
      <c r="AB41" s="333">
        <f t="shared" si="1"/>
        <v>0</v>
      </c>
      <c r="AC41" s="334">
        <f t="shared" si="2"/>
        <v>1</v>
      </c>
      <c r="AD41" s="335">
        <f t="shared" si="3"/>
        <v>1</v>
      </c>
      <c r="AE41" s="475">
        <f t="shared" si="4"/>
        <v>10</v>
      </c>
      <c r="AF41" s="475">
        <f>COUNTIF('출전기록 (26)'!W$2:AG$7,'2026 토탈'!X41)+Z41</f>
        <v>8</v>
      </c>
      <c r="AG41" s="475">
        <f>COUNTIF('출전기록 (26)'!AH$2:AM$7,'2026 토탈'!X41)+AA41</f>
        <v>2</v>
      </c>
      <c r="AH41" s="475">
        <f t="shared" si="5"/>
        <v>0</v>
      </c>
      <c r="AI41" s="475">
        <f t="shared" si="6"/>
        <v>1</v>
      </c>
      <c r="AJ41" s="475">
        <f t="shared" si="7"/>
        <v>1</v>
      </c>
    </row>
    <row r="42" spans="1:36">
      <c r="N42" t="s">
        <v>120</v>
      </c>
      <c r="O42" s="213"/>
      <c r="Q42" t="s">
        <v>121</v>
      </c>
      <c r="X42" s="473" t="s">
        <v>106</v>
      </c>
      <c r="Y42" s="332">
        <f t="shared" si="0"/>
        <v>10</v>
      </c>
      <c r="Z42" s="474">
        <f>COUNTIF('출전기록 (26)'!C$2:M$39,'2026 토탈'!X42)</f>
        <v>5</v>
      </c>
      <c r="AA42" s="474">
        <f>COUNTIF('출전기록 (26)'!N$2:S$39,'2026 토탈'!X42)</f>
        <v>5</v>
      </c>
      <c r="AB42" s="333">
        <f t="shared" si="1"/>
        <v>1</v>
      </c>
      <c r="AC42" s="334">
        <f t="shared" si="2"/>
        <v>1</v>
      </c>
      <c r="AD42" s="335">
        <f t="shared" si="3"/>
        <v>2</v>
      </c>
      <c r="AE42" s="475">
        <f t="shared" si="4"/>
        <v>10</v>
      </c>
      <c r="AF42" s="475">
        <f>COUNTIF('출전기록 (26)'!W$2:AG$7,'2026 토탈'!X42)+Z42</f>
        <v>5</v>
      </c>
      <c r="AG42" s="475">
        <f>COUNTIF('출전기록 (26)'!AH$2:AM$7,'2026 토탈'!X42)+AA42</f>
        <v>5</v>
      </c>
      <c r="AH42" s="475">
        <f t="shared" si="5"/>
        <v>1</v>
      </c>
      <c r="AI42" s="475">
        <f t="shared" si="6"/>
        <v>1</v>
      </c>
      <c r="AJ42" s="475">
        <f t="shared" si="7"/>
        <v>2</v>
      </c>
    </row>
    <row r="43" spans="1:36">
      <c r="M43" s="352" t="s">
        <v>2</v>
      </c>
      <c r="N43" s="352" t="s">
        <v>122</v>
      </c>
      <c r="O43" s="352" t="s">
        <v>123</v>
      </c>
      <c r="P43" s="352" t="s">
        <v>124</v>
      </c>
      <c r="Q43" s="352" t="s">
        <v>122</v>
      </c>
      <c r="R43" s="352" t="s">
        <v>123</v>
      </c>
      <c r="S43" s="352" t="s">
        <v>124</v>
      </c>
      <c r="T43" s="352" t="s">
        <v>125</v>
      </c>
      <c r="X43" s="473" t="s">
        <v>126</v>
      </c>
      <c r="Y43" s="332">
        <f t="shared" si="0"/>
        <v>0</v>
      </c>
      <c r="Z43" s="474">
        <f>COUNTIF('출전기록 (26)'!C$2:M$39,'2026 토탈'!X43)</f>
        <v>0</v>
      </c>
      <c r="AA43" s="474">
        <f>COUNTIF('출전기록 (26)'!N$2:S$39,'2026 토탈'!X43)</f>
        <v>0</v>
      </c>
      <c r="AB43" s="333">
        <f t="shared" si="1"/>
        <v>0</v>
      </c>
      <c r="AC43" s="334">
        <f t="shared" si="2"/>
        <v>0</v>
      </c>
      <c r="AD43" s="335">
        <f t="shared" si="3"/>
        <v>0</v>
      </c>
      <c r="AE43" s="475">
        <f t="shared" si="4"/>
        <v>0</v>
      </c>
      <c r="AF43" s="475">
        <f>COUNTIF('출전기록 (26)'!W$2:AG$7,'2026 토탈'!X43)+Z43</f>
        <v>0</v>
      </c>
      <c r="AG43" s="475">
        <f>COUNTIF('출전기록 (26)'!AH$2:AM$7,'2026 토탈'!X43)+AA43</f>
        <v>0</v>
      </c>
      <c r="AH43" s="475">
        <f t="shared" si="5"/>
        <v>0</v>
      </c>
      <c r="AI43" s="475">
        <f t="shared" si="6"/>
        <v>0</v>
      </c>
      <c r="AJ43" s="475">
        <f t="shared" si="7"/>
        <v>0</v>
      </c>
    </row>
    <row r="44" spans="1:36">
      <c r="M44" s="2" t="s">
        <v>42</v>
      </c>
      <c r="N44" s="2">
        <f>COUNT(U3:U40)</f>
        <v>19</v>
      </c>
      <c r="O44" s="96">
        <f>SUMIFS(U3:U41,A3:A41,M44)</f>
        <v>182548</v>
      </c>
      <c r="P44" s="96">
        <f>O44/N44</f>
        <v>9607.78947368421</v>
      </c>
      <c r="Q44" s="136">
        <v>19</v>
      </c>
      <c r="R44" s="136">
        <v>193302</v>
      </c>
      <c r="S44" s="137">
        <v>10173.78947368421</v>
      </c>
      <c r="T44" s="165">
        <f>(P44-S44)/S44</f>
        <v>-5.563315433880664E-2</v>
      </c>
    </row>
    <row r="45" spans="1:36">
      <c r="M45" s="2" t="s">
        <v>115</v>
      </c>
      <c r="N45" s="2">
        <f>COUNT(U41:U41)</f>
        <v>1</v>
      </c>
      <c r="O45" s="96">
        <f>SUMIFS(U3:U41,A3:A41,M45)</f>
        <v>3873</v>
      </c>
      <c r="P45" s="96">
        <f>O45/N45</f>
        <v>3873</v>
      </c>
      <c r="Q45" s="136">
        <v>2</v>
      </c>
      <c r="R45" s="136">
        <v>2303</v>
      </c>
      <c r="S45" s="137">
        <v>1151.5</v>
      </c>
      <c r="T45" s="165">
        <f>(P45-S45)/S45</f>
        <v>2.3634389926183239</v>
      </c>
    </row>
  </sheetData>
  <autoFilter ref="A2:V45" xr:uid="{00000000-0009-0000-0000-000000000000}"/>
  <mergeCells count="2">
    <mergeCell ref="BI15:BR15"/>
    <mergeCell ref="BI1:BR1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3"/>
  <sheetViews>
    <sheetView workbookViewId="0">
      <selection activeCell="AB16" sqref="AB16:AC16"/>
    </sheetView>
  </sheetViews>
  <sheetFormatPr defaultRowHeight="17"/>
  <cols>
    <col min="1" max="1" width="15.5" style="452" bestFit="1" customWidth="1"/>
    <col min="2" max="2" width="7.33203125" style="452" customWidth="1"/>
    <col min="3" max="3" width="7.83203125" style="452" bestFit="1" customWidth="1"/>
    <col min="4" max="4" width="8.5" style="452" bestFit="1" customWidth="1"/>
    <col min="5" max="5" width="9.08203125" style="452" bestFit="1" customWidth="1"/>
    <col min="10" max="10" width="9.33203125" style="452" bestFit="1" customWidth="1"/>
  </cols>
  <sheetData>
    <row r="1" spans="1:39">
      <c r="A1" s="292" t="s">
        <v>0</v>
      </c>
      <c r="B1" s="293" t="s">
        <v>6</v>
      </c>
      <c r="C1" s="455" t="s">
        <v>26</v>
      </c>
      <c r="D1" s="456" t="s">
        <v>26</v>
      </c>
      <c r="E1" s="456" t="s">
        <v>26</v>
      </c>
      <c r="F1" s="456" t="s">
        <v>26</v>
      </c>
      <c r="G1" s="456" t="s">
        <v>26</v>
      </c>
      <c r="H1" s="456" t="s">
        <v>26</v>
      </c>
      <c r="I1" s="456" t="s">
        <v>26</v>
      </c>
      <c r="J1" s="456" t="s">
        <v>26</v>
      </c>
      <c r="K1" s="456" t="s">
        <v>26</v>
      </c>
      <c r="L1" s="456" t="s">
        <v>26</v>
      </c>
      <c r="M1" s="457" t="s">
        <v>26</v>
      </c>
      <c r="N1" s="458" t="s">
        <v>27</v>
      </c>
      <c r="O1" s="459" t="s">
        <v>27</v>
      </c>
      <c r="P1" s="459" t="s">
        <v>27</v>
      </c>
      <c r="Q1" s="459" t="s">
        <v>27</v>
      </c>
      <c r="R1" s="459" t="s">
        <v>27</v>
      </c>
      <c r="S1" s="460" t="s">
        <v>127</v>
      </c>
      <c r="T1" s="85"/>
      <c r="V1" s="292" t="s">
        <v>115</v>
      </c>
      <c r="W1" s="294" t="s">
        <v>26</v>
      </c>
      <c r="X1" s="295" t="s">
        <v>26</v>
      </c>
      <c r="Y1" s="295" t="s">
        <v>26</v>
      </c>
      <c r="Z1" s="295" t="s">
        <v>26</v>
      </c>
      <c r="AA1" s="295" t="s">
        <v>26</v>
      </c>
      <c r="AB1" s="295" t="s">
        <v>26</v>
      </c>
      <c r="AC1" s="295" t="s">
        <v>26</v>
      </c>
      <c r="AD1" s="295" t="s">
        <v>26</v>
      </c>
      <c r="AE1" s="295" t="s">
        <v>26</v>
      </c>
      <c r="AF1" s="295" t="s">
        <v>26</v>
      </c>
      <c r="AG1" s="296" t="s">
        <v>26</v>
      </c>
      <c r="AH1" s="294" t="s">
        <v>27</v>
      </c>
      <c r="AI1" s="295" t="s">
        <v>27</v>
      </c>
      <c r="AJ1" s="295" t="s">
        <v>27</v>
      </c>
      <c r="AK1" s="295" t="s">
        <v>27</v>
      </c>
      <c r="AL1" s="296" t="s">
        <v>27</v>
      </c>
      <c r="AM1" s="296" t="s">
        <v>27</v>
      </c>
    </row>
    <row r="2" spans="1:39">
      <c r="A2" s="159">
        <v>1</v>
      </c>
      <c r="B2" s="264" t="s">
        <v>341</v>
      </c>
      <c r="C2" s="297" t="s">
        <v>107</v>
      </c>
      <c r="D2" s="243" t="s">
        <v>97</v>
      </c>
      <c r="E2" s="243" t="s">
        <v>89</v>
      </c>
      <c r="F2" s="243" t="s">
        <v>52</v>
      </c>
      <c r="G2" s="243" t="s">
        <v>63</v>
      </c>
      <c r="H2" s="243" t="s">
        <v>51</v>
      </c>
      <c r="I2" s="243" t="s">
        <v>85</v>
      </c>
      <c r="J2" s="243" t="s">
        <v>70</v>
      </c>
      <c r="K2" s="243" t="s">
        <v>50</v>
      </c>
      <c r="L2" s="243" t="s">
        <v>54</v>
      </c>
      <c r="M2" s="298" t="s">
        <v>46</v>
      </c>
      <c r="N2" s="110" t="s">
        <v>81</v>
      </c>
      <c r="O2" s="2" t="s">
        <v>98</v>
      </c>
      <c r="P2" s="2" t="s">
        <v>83</v>
      </c>
      <c r="Q2" s="2" t="s">
        <v>73</v>
      </c>
      <c r="R2" s="159" t="s">
        <v>114</v>
      </c>
      <c r="S2" s="51"/>
      <c r="T2" s="1"/>
      <c r="V2" s="159"/>
      <c r="W2" s="297"/>
      <c r="X2" s="243"/>
      <c r="Y2" s="243"/>
      <c r="Z2" s="243"/>
      <c r="AA2" s="243"/>
      <c r="AB2" s="243"/>
      <c r="AC2" s="243"/>
      <c r="AD2" s="243"/>
      <c r="AE2" s="243"/>
      <c r="AF2" s="243"/>
      <c r="AG2" s="298"/>
      <c r="AH2" s="110"/>
      <c r="AI2" s="2"/>
      <c r="AJ2" s="2"/>
      <c r="AK2" s="2"/>
      <c r="AL2" s="51"/>
      <c r="AM2" s="51"/>
    </row>
    <row r="3" spans="1:39">
      <c r="A3" s="159">
        <v>2</v>
      </c>
      <c r="B3" s="264" t="s">
        <v>345</v>
      </c>
      <c r="C3" s="297" t="s">
        <v>107</v>
      </c>
      <c r="D3" s="243" t="s">
        <v>97</v>
      </c>
      <c r="E3" s="243" t="s">
        <v>89</v>
      </c>
      <c r="F3" s="243" t="s">
        <v>52</v>
      </c>
      <c r="G3" s="243" t="s">
        <v>63</v>
      </c>
      <c r="H3" s="243" t="s">
        <v>51</v>
      </c>
      <c r="I3" s="243" t="s">
        <v>73</v>
      </c>
      <c r="J3" s="243" t="s">
        <v>70</v>
      </c>
      <c r="K3" s="243" t="s">
        <v>83</v>
      </c>
      <c r="L3" s="243" t="s">
        <v>50</v>
      </c>
      <c r="M3" s="298" t="s">
        <v>46</v>
      </c>
      <c r="N3" s="110" t="s">
        <v>59</v>
      </c>
      <c r="O3" s="2" t="s">
        <v>81</v>
      </c>
      <c r="P3" s="2" t="s">
        <v>85</v>
      </c>
      <c r="Q3" s="2" t="s">
        <v>96</v>
      </c>
      <c r="R3" s="159" t="s">
        <v>98</v>
      </c>
      <c r="S3" s="51"/>
      <c r="T3" s="1"/>
      <c r="V3" s="159"/>
      <c r="W3" s="297"/>
      <c r="X3" s="243"/>
      <c r="Y3" s="243"/>
      <c r="Z3" s="243"/>
      <c r="AA3" s="243"/>
      <c r="AB3" s="243"/>
      <c r="AC3" s="243"/>
      <c r="AD3" s="243"/>
      <c r="AE3" s="243"/>
      <c r="AF3" s="243"/>
      <c r="AG3" s="298"/>
      <c r="AH3" s="110"/>
      <c r="AI3" s="2"/>
      <c r="AJ3" s="2"/>
      <c r="AK3" s="2"/>
      <c r="AL3" s="51"/>
      <c r="AM3" s="51"/>
    </row>
    <row r="4" spans="1:39">
      <c r="A4" s="159">
        <v>3</v>
      </c>
      <c r="B4" s="264" t="s">
        <v>349</v>
      </c>
      <c r="C4" s="297" t="s">
        <v>107</v>
      </c>
      <c r="D4" s="243" t="s">
        <v>97</v>
      </c>
      <c r="E4" s="243" t="s">
        <v>89</v>
      </c>
      <c r="F4" s="243" t="s">
        <v>52</v>
      </c>
      <c r="G4" s="243" t="s">
        <v>63</v>
      </c>
      <c r="H4" s="243" t="s">
        <v>51</v>
      </c>
      <c r="I4" s="243" t="s">
        <v>73</v>
      </c>
      <c r="J4" s="243" t="s">
        <v>70</v>
      </c>
      <c r="K4" s="243" t="s">
        <v>83</v>
      </c>
      <c r="L4" s="243" t="s">
        <v>50</v>
      </c>
      <c r="M4" s="298" t="s">
        <v>46</v>
      </c>
      <c r="N4" s="110" t="s">
        <v>59</v>
      </c>
      <c r="O4" s="2" t="s">
        <v>81</v>
      </c>
      <c r="P4" s="2"/>
      <c r="Q4" s="2"/>
      <c r="R4" s="159"/>
      <c r="S4" s="51"/>
      <c r="T4" s="1"/>
      <c r="V4" s="159" t="s">
        <v>128</v>
      </c>
      <c r="W4" s="297"/>
      <c r="X4" s="243"/>
      <c r="Y4" s="243"/>
      <c r="Z4" s="243"/>
      <c r="AA4" s="243"/>
      <c r="AB4" s="243"/>
      <c r="AC4" s="243"/>
      <c r="AD4" s="243"/>
      <c r="AE4" s="243"/>
      <c r="AF4" s="243"/>
      <c r="AG4" s="298"/>
      <c r="AH4" s="110"/>
      <c r="AI4" s="2"/>
      <c r="AJ4" s="2"/>
      <c r="AK4" s="2"/>
      <c r="AL4" s="51"/>
      <c r="AM4" s="51"/>
    </row>
    <row r="5" spans="1:39">
      <c r="A5" s="159">
        <v>4</v>
      </c>
      <c r="B5" s="264" t="s">
        <v>353</v>
      </c>
      <c r="C5" s="297" t="s">
        <v>107</v>
      </c>
      <c r="D5" s="243" t="s">
        <v>97</v>
      </c>
      <c r="E5" s="243" t="s">
        <v>89</v>
      </c>
      <c r="F5" s="243" t="s">
        <v>52</v>
      </c>
      <c r="G5" s="243" t="s">
        <v>63</v>
      </c>
      <c r="H5" s="243" t="s">
        <v>51</v>
      </c>
      <c r="I5" s="243" t="s">
        <v>85</v>
      </c>
      <c r="J5" s="243" t="s">
        <v>70</v>
      </c>
      <c r="K5" s="243" t="s">
        <v>83</v>
      </c>
      <c r="L5" s="243" t="s">
        <v>50</v>
      </c>
      <c r="M5" s="298" t="s">
        <v>46</v>
      </c>
      <c r="N5" s="110" t="s">
        <v>59</v>
      </c>
      <c r="O5" s="2" t="s">
        <v>81</v>
      </c>
      <c r="P5" s="2" t="s">
        <v>73</v>
      </c>
      <c r="Q5" s="2" t="s">
        <v>80</v>
      </c>
      <c r="R5" s="159" t="s">
        <v>65</v>
      </c>
      <c r="S5" s="51"/>
      <c r="T5" s="1"/>
      <c r="V5" s="159" t="s">
        <v>129</v>
      </c>
      <c r="W5" s="297"/>
      <c r="X5" s="243"/>
      <c r="Y5" s="243"/>
      <c r="Z5" s="243"/>
      <c r="AA5" s="243"/>
      <c r="AB5" s="243"/>
      <c r="AC5" s="243"/>
      <c r="AD5" s="243"/>
      <c r="AE5" s="243"/>
      <c r="AF5" s="243"/>
      <c r="AG5" s="298"/>
      <c r="AH5" s="110"/>
      <c r="AI5" s="2"/>
      <c r="AJ5" s="2"/>
      <c r="AK5" s="2"/>
      <c r="AL5" s="51"/>
      <c r="AM5" s="51"/>
    </row>
    <row r="6" spans="1:39">
      <c r="A6" s="159">
        <v>5</v>
      </c>
      <c r="B6" s="264" t="s">
        <v>355</v>
      </c>
      <c r="C6" s="297" t="s">
        <v>107</v>
      </c>
      <c r="D6" s="243" t="s">
        <v>96</v>
      </c>
      <c r="E6" s="243" t="s">
        <v>89</v>
      </c>
      <c r="F6" s="243" t="s">
        <v>52</v>
      </c>
      <c r="G6" s="243" t="s">
        <v>63</v>
      </c>
      <c r="H6" s="243" t="s">
        <v>51</v>
      </c>
      <c r="I6" s="243" t="s">
        <v>73</v>
      </c>
      <c r="J6" s="243" t="s">
        <v>59</v>
      </c>
      <c r="K6" s="243" t="s">
        <v>50</v>
      </c>
      <c r="L6" s="243" t="s">
        <v>54</v>
      </c>
      <c r="M6" s="298" t="s">
        <v>46</v>
      </c>
      <c r="N6" s="110" t="s">
        <v>70</v>
      </c>
      <c r="O6" s="2" t="s">
        <v>81</v>
      </c>
      <c r="P6" s="2" t="s">
        <v>80</v>
      </c>
      <c r="Q6" s="159" t="s">
        <v>65</v>
      </c>
      <c r="R6" s="159"/>
      <c r="S6" s="51"/>
      <c r="T6" s="1"/>
      <c r="V6" s="159" t="s">
        <v>130</v>
      </c>
      <c r="W6" s="297"/>
      <c r="X6" s="243"/>
      <c r="Y6" s="243"/>
      <c r="Z6" s="243"/>
      <c r="AA6" s="243"/>
      <c r="AB6" s="243"/>
      <c r="AC6" s="243"/>
      <c r="AD6" s="243"/>
      <c r="AE6" s="243"/>
      <c r="AF6" s="243"/>
      <c r="AG6" s="298"/>
      <c r="AH6" s="110"/>
      <c r="AI6" s="2"/>
      <c r="AJ6" s="2"/>
      <c r="AK6" s="2"/>
      <c r="AL6" s="51"/>
      <c r="AM6" s="51"/>
    </row>
    <row r="7" spans="1:39">
      <c r="A7" s="159">
        <v>6</v>
      </c>
      <c r="B7" s="264" t="s">
        <v>358</v>
      </c>
      <c r="C7" s="297" t="s">
        <v>107</v>
      </c>
      <c r="D7" s="243" t="s">
        <v>96</v>
      </c>
      <c r="E7" s="243" t="s">
        <v>89</v>
      </c>
      <c r="F7" s="243" t="s">
        <v>52</v>
      </c>
      <c r="G7" s="243" t="s">
        <v>63</v>
      </c>
      <c r="H7" s="243" t="s">
        <v>51</v>
      </c>
      <c r="I7" s="243" t="s">
        <v>73</v>
      </c>
      <c r="J7" s="243" t="s">
        <v>59</v>
      </c>
      <c r="K7" s="243" t="s">
        <v>50</v>
      </c>
      <c r="L7" s="243" t="s">
        <v>54</v>
      </c>
      <c r="M7" s="298" t="s">
        <v>46</v>
      </c>
      <c r="N7" s="110" t="s">
        <v>70</v>
      </c>
      <c r="O7" s="2" t="s">
        <v>81</v>
      </c>
      <c r="P7" s="2" t="s">
        <v>83</v>
      </c>
      <c r="Q7" s="159" t="s">
        <v>65</v>
      </c>
      <c r="R7" s="159" t="s">
        <v>85</v>
      </c>
      <c r="S7" s="51"/>
      <c r="T7" s="1"/>
      <c r="V7" s="159" t="s">
        <v>131</v>
      </c>
      <c r="W7" s="297"/>
      <c r="X7" s="243"/>
      <c r="Y7" s="243"/>
      <c r="Z7" s="243"/>
      <c r="AA7" s="243"/>
      <c r="AB7" s="243"/>
      <c r="AC7" s="243"/>
      <c r="AD7" s="243"/>
      <c r="AE7" s="243"/>
      <c r="AF7" s="243"/>
      <c r="AG7" s="298"/>
      <c r="AH7" s="110"/>
      <c r="AI7" s="2"/>
      <c r="AJ7" s="2"/>
      <c r="AK7" s="2"/>
      <c r="AL7" s="51"/>
      <c r="AM7" s="51"/>
    </row>
    <row r="8" spans="1:39">
      <c r="A8" s="159">
        <v>7</v>
      </c>
      <c r="B8" s="264" t="s">
        <v>360</v>
      </c>
      <c r="C8" s="297" t="s">
        <v>107</v>
      </c>
      <c r="D8" s="243" t="s">
        <v>96</v>
      </c>
      <c r="E8" s="243" t="s">
        <v>89</v>
      </c>
      <c r="F8" s="243" t="s">
        <v>52</v>
      </c>
      <c r="G8" s="243" t="s">
        <v>63</v>
      </c>
      <c r="H8" s="243" t="s">
        <v>51</v>
      </c>
      <c r="I8" s="243" t="s">
        <v>73</v>
      </c>
      <c r="J8" s="243" t="s">
        <v>59</v>
      </c>
      <c r="K8" s="243" t="s">
        <v>50</v>
      </c>
      <c r="L8" s="243" t="s">
        <v>54</v>
      </c>
      <c r="M8" s="298" t="s">
        <v>46</v>
      </c>
      <c r="N8" s="110" t="s">
        <v>98</v>
      </c>
      <c r="O8" s="2" t="s">
        <v>70</v>
      </c>
      <c r="P8" s="2" t="s">
        <v>81</v>
      </c>
      <c r="Q8" s="159" t="s">
        <v>65</v>
      </c>
      <c r="R8" s="159"/>
      <c r="S8" s="51"/>
      <c r="T8" s="1"/>
    </row>
    <row r="9" spans="1:39">
      <c r="A9" s="159">
        <v>8</v>
      </c>
      <c r="B9" s="264" t="s">
        <v>362</v>
      </c>
      <c r="C9" s="297" t="s">
        <v>108</v>
      </c>
      <c r="D9" s="243" t="s">
        <v>96</v>
      </c>
      <c r="E9" s="243" t="s">
        <v>89</v>
      </c>
      <c r="F9" s="243" t="s">
        <v>52</v>
      </c>
      <c r="G9" s="243" t="s">
        <v>98</v>
      </c>
      <c r="H9" s="243" t="s">
        <v>51</v>
      </c>
      <c r="I9" s="243" t="s">
        <v>73</v>
      </c>
      <c r="J9" s="243" t="s">
        <v>70</v>
      </c>
      <c r="K9" s="243" t="s">
        <v>81</v>
      </c>
      <c r="L9" s="243" t="s">
        <v>65</v>
      </c>
      <c r="M9" s="298" t="s">
        <v>46</v>
      </c>
      <c r="N9" s="110" t="s">
        <v>63</v>
      </c>
      <c r="O9" s="2" t="s">
        <v>50</v>
      </c>
      <c r="P9" s="2" t="s">
        <v>83</v>
      </c>
      <c r="Q9" s="159" t="s">
        <v>59</v>
      </c>
      <c r="R9" s="159" t="s">
        <v>114</v>
      </c>
      <c r="S9" s="51"/>
      <c r="T9" s="1"/>
    </row>
    <row r="10" spans="1:39">
      <c r="A10" s="159">
        <v>9</v>
      </c>
      <c r="B10" s="264" t="s">
        <v>365</v>
      </c>
      <c r="C10" s="297" t="s">
        <v>108</v>
      </c>
      <c r="D10" s="243" t="s">
        <v>96</v>
      </c>
      <c r="E10" s="243" t="s">
        <v>89</v>
      </c>
      <c r="F10" s="243" t="s">
        <v>80</v>
      </c>
      <c r="G10" s="243" t="s">
        <v>98</v>
      </c>
      <c r="H10" s="243" t="s">
        <v>51</v>
      </c>
      <c r="I10" s="243" t="s">
        <v>73</v>
      </c>
      <c r="J10" s="243" t="s">
        <v>59</v>
      </c>
      <c r="K10" s="243" t="s">
        <v>83</v>
      </c>
      <c r="L10" s="243" t="s">
        <v>65</v>
      </c>
      <c r="M10" s="298" t="s">
        <v>81</v>
      </c>
      <c r="N10" s="110" t="s">
        <v>63</v>
      </c>
      <c r="O10" s="2" t="s">
        <v>85</v>
      </c>
      <c r="P10" s="2" t="s">
        <v>70</v>
      </c>
      <c r="Q10" s="159" t="s">
        <v>46</v>
      </c>
      <c r="R10" s="159" t="s">
        <v>114</v>
      </c>
      <c r="S10" s="51"/>
      <c r="T10" s="1"/>
    </row>
    <row r="11" spans="1:39">
      <c r="A11" s="159">
        <v>10</v>
      </c>
      <c r="B11" s="264" t="s">
        <v>367</v>
      </c>
      <c r="C11" s="297" t="s">
        <v>108</v>
      </c>
      <c r="D11" s="243" t="s">
        <v>96</v>
      </c>
      <c r="E11" s="243" t="s">
        <v>89</v>
      </c>
      <c r="F11" s="243" t="s">
        <v>52</v>
      </c>
      <c r="G11" s="243" t="s">
        <v>63</v>
      </c>
      <c r="H11" s="243" t="s">
        <v>51</v>
      </c>
      <c r="I11" s="243" t="s">
        <v>73</v>
      </c>
      <c r="J11" s="243" t="s">
        <v>59</v>
      </c>
      <c r="K11" s="243" t="s">
        <v>70</v>
      </c>
      <c r="L11" s="243" t="s">
        <v>81</v>
      </c>
      <c r="M11" s="298" t="s">
        <v>46</v>
      </c>
      <c r="N11" s="110" t="s">
        <v>97</v>
      </c>
      <c r="O11" s="2" t="s">
        <v>80</v>
      </c>
      <c r="P11" s="2" t="s">
        <v>85</v>
      </c>
      <c r="Q11" s="159" t="s">
        <v>87</v>
      </c>
      <c r="R11" s="159" t="s">
        <v>65</v>
      </c>
      <c r="S11" s="51"/>
      <c r="T11" s="1"/>
    </row>
    <row r="12" spans="1:39">
      <c r="A12" s="159">
        <v>11</v>
      </c>
      <c r="B12" s="264" t="s">
        <v>369</v>
      </c>
      <c r="C12" s="297" t="s">
        <v>108</v>
      </c>
      <c r="D12" s="243" t="s">
        <v>96</v>
      </c>
      <c r="E12" s="243" t="s">
        <v>89</v>
      </c>
      <c r="F12" s="243" t="s">
        <v>52</v>
      </c>
      <c r="G12" s="243" t="s">
        <v>63</v>
      </c>
      <c r="H12" s="243" t="s">
        <v>51</v>
      </c>
      <c r="I12" s="243" t="s">
        <v>73</v>
      </c>
      <c r="J12" s="243" t="s">
        <v>59</v>
      </c>
      <c r="K12" s="243" t="s">
        <v>81</v>
      </c>
      <c r="L12" s="243" t="s">
        <v>65</v>
      </c>
      <c r="M12" s="298" t="s">
        <v>46</v>
      </c>
      <c r="N12" s="110" t="s">
        <v>70</v>
      </c>
      <c r="O12" s="2" t="s">
        <v>83</v>
      </c>
      <c r="P12" s="2" t="s">
        <v>99</v>
      </c>
      <c r="Q12" s="159" t="s">
        <v>80</v>
      </c>
      <c r="R12" s="159" t="s">
        <v>114</v>
      </c>
      <c r="S12" s="51"/>
      <c r="T12" s="1"/>
    </row>
    <row r="13" spans="1:39">
      <c r="A13" s="159">
        <v>12</v>
      </c>
      <c r="B13" s="264" t="s">
        <v>353</v>
      </c>
      <c r="C13" s="297" t="s">
        <v>108</v>
      </c>
      <c r="D13" s="243" t="s">
        <v>96</v>
      </c>
      <c r="E13" s="243" t="s">
        <v>89</v>
      </c>
      <c r="F13" s="243" t="s">
        <v>52</v>
      </c>
      <c r="G13" s="243" t="s">
        <v>99</v>
      </c>
      <c r="H13" s="243" t="s">
        <v>51</v>
      </c>
      <c r="I13" s="243" t="s">
        <v>73</v>
      </c>
      <c r="J13" s="243" t="s">
        <v>83</v>
      </c>
      <c r="K13" s="243" t="s">
        <v>70</v>
      </c>
      <c r="L13" s="243" t="s">
        <v>54</v>
      </c>
      <c r="M13" s="298" t="s">
        <v>46</v>
      </c>
      <c r="N13" s="110" t="s">
        <v>65</v>
      </c>
      <c r="O13" s="2" t="s">
        <v>59</v>
      </c>
      <c r="P13" s="2" t="s">
        <v>81</v>
      </c>
      <c r="Q13" s="159" t="s">
        <v>80</v>
      </c>
      <c r="R13" s="159" t="s">
        <v>107</v>
      </c>
      <c r="S13" s="51"/>
      <c r="T13" s="1"/>
    </row>
    <row r="14" spans="1:39">
      <c r="A14" s="159">
        <v>13</v>
      </c>
      <c r="B14" s="264" t="s">
        <v>358</v>
      </c>
      <c r="C14" s="297" t="s">
        <v>107</v>
      </c>
      <c r="D14" s="243" t="s">
        <v>97</v>
      </c>
      <c r="E14" s="243" t="s">
        <v>89</v>
      </c>
      <c r="F14" s="243" t="s">
        <v>52</v>
      </c>
      <c r="G14" s="243" t="s">
        <v>99</v>
      </c>
      <c r="H14" s="243" t="s">
        <v>51</v>
      </c>
      <c r="I14" s="243" t="s">
        <v>73</v>
      </c>
      <c r="J14" s="243" t="s">
        <v>59</v>
      </c>
      <c r="K14" s="243" t="s">
        <v>81</v>
      </c>
      <c r="L14" s="243" t="s">
        <v>65</v>
      </c>
      <c r="M14" s="298" t="s">
        <v>70</v>
      </c>
      <c r="N14" s="110" t="s">
        <v>63</v>
      </c>
      <c r="O14" s="2" t="s">
        <v>96</v>
      </c>
      <c r="P14" s="2" t="s">
        <v>87</v>
      </c>
      <c r="Q14" s="159" t="s">
        <v>83</v>
      </c>
      <c r="R14" s="159" t="s">
        <v>54</v>
      </c>
      <c r="S14" s="51"/>
      <c r="T14" s="1"/>
    </row>
    <row r="15" spans="1:39">
      <c r="A15" s="159">
        <v>14</v>
      </c>
      <c r="B15" s="264" t="s">
        <v>349</v>
      </c>
      <c r="C15" s="297" t="s">
        <v>107</v>
      </c>
      <c r="D15" s="243" t="s">
        <v>97</v>
      </c>
      <c r="E15" s="243" t="s">
        <v>96</v>
      </c>
      <c r="F15" s="243" t="s">
        <v>80</v>
      </c>
      <c r="G15" s="243" t="s">
        <v>63</v>
      </c>
      <c r="H15" s="243" t="s">
        <v>51</v>
      </c>
      <c r="I15" s="243" t="s">
        <v>90</v>
      </c>
      <c r="J15" s="243" t="s">
        <v>87</v>
      </c>
      <c r="K15" s="243" t="s">
        <v>83</v>
      </c>
      <c r="L15" s="243" t="s">
        <v>54</v>
      </c>
      <c r="M15" s="298" t="s">
        <v>114</v>
      </c>
      <c r="N15" s="110" t="s">
        <v>70</v>
      </c>
      <c r="O15" s="2" t="s">
        <v>65</v>
      </c>
      <c r="P15" s="2" t="s">
        <v>59</v>
      </c>
      <c r="Q15" s="159" t="s">
        <v>73</v>
      </c>
      <c r="R15" s="159" t="s">
        <v>81</v>
      </c>
      <c r="S15" s="51"/>
      <c r="T15" s="1"/>
    </row>
    <row r="16" spans="1:39">
      <c r="A16" s="159">
        <v>15</v>
      </c>
      <c r="B16" s="264" t="s">
        <v>345</v>
      </c>
      <c r="C16" s="297" t="s">
        <v>107</v>
      </c>
      <c r="D16" s="243" t="s">
        <v>97</v>
      </c>
      <c r="E16" s="243" t="s">
        <v>89</v>
      </c>
      <c r="F16" s="243" t="s">
        <v>52</v>
      </c>
      <c r="G16" s="243" t="s">
        <v>63</v>
      </c>
      <c r="H16" s="243" t="s">
        <v>51</v>
      </c>
      <c r="I16" s="243" t="s">
        <v>73</v>
      </c>
      <c r="J16" s="243" t="s">
        <v>59</v>
      </c>
      <c r="K16" s="243" t="s">
        <v>70</v>
      </c>
      <c r="L16" s="243" t="s">
        <v>81</v>
      </c>
      <c r="M16" s="298" t="s">
        <v>65</v>
      </c>
      <c r="N16" s="110" t="s">
        <v>80</v>
      </c>
      <c r="O16" s="2" t="s">
        <v>92</v>
      </c>
      <c r="P16" s="2" t="s">
        <v>87</v>
      </c>
      <c r="Q16" s="159" t="s">
        <v>114</v>
      </c>
      <c r="R16" s="159" t="s">
        <v>54</v>
      </c>
      <c r="S16" s="51"/>
      <c r="T16" s="1"/>
    </row>
    <row r="17" spans="1:20">
      <c r="A17" s="159">
        <v>16</v>
      </c>
      <c r="B17" s="264" t="s">
        <v>341</v>
      </c>
      <c r="C17" s="297" t="s">
        <v>107</v>
      </c>
      <c r="D17" s="243" t="s">
        <v>97</v>
      </c>
      <c r="E17" s="243" t="s">
        <v>89</v>
      </c>
      <c r="F17" s="243" t="s">
        <v>52</v>
      </c>
      <c r="G17" s="243" t="s">
        <v>63</v>
      </c>
      <c r="H17" s="243" t="s">
        <v>51</v>
      </c>
      <c r="I17" s="243" t="s">
        <v>73</v>
      </c>
      <c r="J17" s="243" t="s">
        <v>59</v>
      </c>
      <c r="K17" s="243" t="s">
        <v>70</v>
      </c>
      <c r="L17" s="243" t="s">
        <v>81</v>
      </c>
      <c r="M17" s="298" t="s">
        <v>65</v>
      </c>
      <c r="N17" s="110" t="s">
        <v>80</v>
      </c>
      <c r="O17" s="2" t="s">
        <v>46</v>
      </c>
      <c r="P17" s="2" t="s">
        <v>87</v>
      </c>
      <c r="Q17" s="159" t="s">
        <v>85</v>
      </c>
      <c r="R17" s="159" t="s">
        <v>54</v>
      </c>
      <c r="S17" s="51"/>
      <c r="T17" s="1"/>
    </row>
    <row r="18" spans="1:20">
      <c r="A18" s="159">
        <v>17</v>
      </c>
      <c r="B18" s="264" t="s">
        <v>355</v>
      </c>
      <c r="C18" s="297" t="s">
        <v>107</v>
      </c>
      <c r="D18" s="243" t="s">
        <v>97</v>
      </c>
      <c r="E18" s="243" t="s">
        <v>89</v>
      </c>
      <c r="F18" s="243" t="s">
        <v>52</v>
      </c>
      <c r="G18" s="243" t="s">
        <v>63</v>
      </c>
      <c r="H18" s="243" t="s">
        <v>51</v>
      </c>
      <c r="I18" s="243" t="s">
        <v>94</v>
      </c>
      <c r="J18" s="243" t="s">
        <v>59</v>
      </c>
      <c r="K18" s="243" t="s">
        <v>70</v>
      </c>
      <c r="L18" s="243" t="s">
        <v>81</v>
      </c>
      <c r="M18" s="298" t="s">
        <v>65</v>
      </c>
      <c r="N18" s="110" t="s">
        <v>80</v>
      </c>
      <c r="O18" s="2" t="s">
        <v>46</v>
      </c>
      <c r="P18" s="159" t="s">
        <v>85</v>
      </c>
      <c r="Q18" s="159" t="s">
        <v>83</v>
      </c>
      <c r="R18" s="159"/>
      <c r="S18" s="51"/>
      <c r="T18" s="1"/>
    </row>
    <row r="19" spans="1:20">
      <c r="A19" s="159">
        <v>18</v>
      </c>
      <c r="B19" s="264" t="s">
        <v>365</v>
      </c>
      <c r="C19" s="297" t="s">
        <v>107</v>
      </c>
      <c r="D19" s="243" t="s">
        <v>97</v>
      </c>
      <c r="E19" s="243" t="s">
        <v>89</v>
      </c>
      <c r="F19" s="243" t="s">
        <v>52</v>
      </c>
      <c r="G19" s="243" t="s">
        <v>63</v>
      </c>
      <c r="H19" s="243" t="s">
        <v>51</v>
      </c>
      <c r="I19" s="243" t="s">
        <v>73</v>
      </c>
      <c r="J19" s="243" t="s">
        <v>59</v>
      </c>
      <c r="K19" s="243" t="s">
        <v>70</v>
      </c>
      <c r="L19" s="243" t="s">
        <v>81</v>
      </c>
      <c r="M19" s="298" t="s">
        <v>65</v>
      </c>
      <c r="N19" s="110" t="s">
        <v>80</v>
      </c>
      <c r="O19" s="2" t="s">
        <v>46</v>
      </c>
      <c r="P19" s="2" t="s">
        <v>83</v>
      </c>
      <c r="Q19" s="159" t="s">
        <v>85</v>
      </c>
      <c r="R19" s="159" t="s">
        <v>54</v>
      </c>
      <c r="S19" s="51"/>
      <c r="T19" s="1"/>
    </row>
    <row r="20" spans="1:20">
      <c r="A20" s="159">
        <v>19</v>
      </c>
      <c r="B20" s="264" t="s">
        <v>360</v>
      </c>
      <c r="C20" s="297" t="s">
        <v>107</v>
      </c>
      <c r="D20" s="243" t="s">
        <v>97</v>
      </c>
      <c r="E20" s="243" t="s">
        <v>89</v>
      </c>
      <c r="F20" s="243" t="s">
        <v>52</v>
      </c>
      <c r="G20" s="243" t="s">
        <v>63</v>
      </c>
      <c r="H20" s="243" t="s">
        <v>51</v>
      </c>
      <c r="I20" s="243" t="s">
        <v>73</v>
      </c>
      <c r="J20" s="243" t="s">
        <v>87</v>
      </c>
      <c r="K20" s="243" t="s">
        <v>70</v>
      </c>
      <c r="L20" s="243" t="s">
        <v>81</v>
      </c>
      <c r="M20" s="298" t="s">
        <v>65</v>
      </c>
      <c r="N20" s="110" t="s">
        <v>80</v>
      </c>
      <c r="O20" s="2" t="s">
        <v>46</v>
      </c>
      <c r="P20" s="2" t="s">
        <v>59</v>
      </c>
      <c r="Q20" s="159" t="s">
        <v>94</v>
      </c>
      <c r="R20" s="159" t="s">
        <v>83</v>
      </c>
      <c r="S20" s="51"/>
      <c r="T20" s="1"/>
    </row>
    <row r="21" spans="1:20">
      <c r="A21" s="159">
        <v>20</v>
      </c>
      <c r="B21" s="264" t="s">
        <v>362</v>
      </c>
      <c r="C21" s="297" t="s">
        <v>107</v>
      </c>
      <c r="D21" s="243" t="s">
        <v>97</v>
      </c>
      <c r="E21" s="243" t="s">
        <v>89</v>
      </c>
      <c r="F21" s="243" t="s">
        <v>52</v>
      </c>
      <c r="G21" s="243" t="s">
        <v>63</v>
      </c>
      <c r="H21" s="243" t="s">
        <v>51</v>
      </c>
      <c r="I21" s="243" t="s">
        <v>73</v>
      </c>
      <c r="J21" s="243" t="s">
        <v>87</v>
      </c>
      <c r="K21" s="243" t="s">
        <v>70</v>
      </c>
      <c r="L21" s="243" t="s">
        <v>81</v>
      </c>
      <c r="M21" s="298" t="s">
        <v>65</v>
      </c>
      <c r="N21" s="110" t="s">
        <v>80</v>
      </c>
      <c r="O21" s="2" t="s">
        <v>46</v>
      </c>
      <c r="P21" s="2" t="s">
        <v>59</v>
      </c>
      <c r="Q21" s="159" t="s">
        <v>83</v>
      </c>
      <c r="R21" s="159" t="s">
        <v>96</v>
      </c>
      <c r="S21" s="51"/>
      <c r="T21" s="1"/>
    </row>
    <row r="22" spans="1:20">
      <c r="A22" s="159">
        <v>21</v>
      </c>
      <c r="B22" s="264" t="s">
        <v>367</v>
      </c>
      <c r="C22" s="297" t="s">
        <v>107</v>
      </c>
      <c r="D22" s="243" t="s">
        <v>89</v>
      </c>
      <c r="E22" s="243" t="s">
        <v>97</v>
      </c>
      <c r="F22" s="243" t="s">
        <v>63</v>
      </c>
      <c r="G22" s="243" t="s">
        <v>52</v>
      </c>
      <c r="H22" s="243" t="s">
        <v>73</v>
      </c>
      <c r="I22" s="243" t="s">
        <v>70</v>
      </c>
      <c r="J22" s="243" t="s">
        <v>51</v>
      </c>
      <c r="K22" s="243" t="s">
        <v>87</v>
      </c>
      <c r="L22" s="243" t="s">
        <v>46</v>
      </c>
      <c r="M22" s="298" t="s">
        <v>81</v>
      </c>
      <c r="N22" s="110" t="s">
        <v>65</v>
      </c>
      <c r="O22" s="2" t="s">
        <v>59</v>
      </c>
      <c r="P22" s="2" t="s">
        <v>94</v>
      </c>
      <c r="Q22" s="2" t="s">
        <v>80</v>
      </c>
      <c r="R22" s="159" t="s">
        <v>93</v>
      </c>
      <c r="S22" s="51"/>
      <c r="T22" s="1"/>
    </row>
    <row r="23" spans="1:20">
      <c r="A23" s="159">
        <v>22</v>
      </c>
      <c r="B23" s="264" t="s">
        <v>369</v>
      </c>
      <c r="C23" s="297" t="s">
        <v>107</v>
      </c>
      <c r="D23" s="243" t="s">
        <v>89</v>
      </c>
      <c r="E23" s="243" t="s">
        <v>105</v>
      </c>
      <c r="F23" s="243" t="s">
        <v>63</v>
      </c>
      <c r="G23" s="243" t="s">
        <v>52</v>
      </c>
      <c r="H23" s="243" t="s">
        <v>73</v>
      </c>
      <c r="I23" s="243" t="s">
        <v>87</v>
      </c>
      <c r="J23" s="243" t="s">
        <v>102</v>
      </c>
      <c r="K23" s="243" t="s">
        <v>81</v>
      </c>
      <c r="L23" s="243" t="s">
        <v>46</v>
      </c>
      <c r="M23" s="298" t="s">
        <v>106</v>
      </c>
      <c r="N23" s="110" t="s">
        <v>50</v>
      </c>
      <c r="O23" s="2" t="s">
        <v>70</v>
      </c>
      <c r="P23" s="2" t="s">
        <v>54</v>
      </c>
      <c r="Q23" s="2"/>
      <c r="R23" s="159"/>
      <c r="S23" s="51"/>
      <c r="T23" s="1"/>
    </row>
    <row r="24" spans="1:20">
      <c r="A24" s="159">
        <v>23</v>
      </c>
      <c r="B24" s="264" t="s">
        <v>358</v>
      </c>
      <c r="C24" s="297" t="s">
        <v>107</v>
      </c>
      <c r="D24" s="243" t="s">
        <v>89</v>
      </c>
      <c r="E24" s="243" t="s">
        <v>97</v>
      </c>
      <c r="F24" s="243" t="s">
        <v>63</v>
      </c>
      <c r="G24" s="243" t="s">
        <v>52</v>
      </c>
      <c r="H24" s="243" t="s">
        <v>73</v>
      </c>
      <c r="I24" s="243" t="s">
        <v>59</v>
      </c>
      <c r="J24" s="243" t="s">
        <v>70</v>
      </c>
      <c r="K24" s="243" t="s">
        <v>51</v>
      </c>
      <c r="L24" s="243" t="s">
        <v>81</v>
      </c>
      <c r="M24" s="298" t="s">
        <v>65</v>
      </c>
      <c r="N24" s="110" t="s">
        <v>46</v>
      </c>
      <c r="O24" s="2" t="s">
        <v>80</v>
      </c>
      <c r="P24" s="2" t="s">
        <v>94</v>
      </c>
      <c r="Q24" s="2" t="s">
        <v>83</v>
      </c>
      <c r="R24" s="159" t="s">
        <v>87</v>
      </c>
      <c r="S24" s="51"/>
      <c r="T24" s="1"/>
    </row>
    <row r="25" spans="1:20">
      <c r="A25" s="159">
        <v>24</v>
      </c>
      <c r="B25" s="264" t="s">
        <v>345</v>
      </c>
      <c r="C25" s="297" t="s">
        <v>107</v>
      </c>
      <c r="D25" s="243" t="s">
        <v>89</v>
      </c>
      <c r="E25" s="243" t="s">
        <v>97</v>
      </c>
      <c r="F25" s="243" t="s">
        <v>63</v>
      </c>
      <c r="G25" s="243" t="s">
        <v>52</v>
      </c>
      <c r="H25" s="243" t="s">
        <v>73</v>
      </c>
      <c r="I25" s="243" t="s">
        <v>70</v>
      </c>
      <c r="J25" s="243" t="s">
        <v>51</v>
      </c>
      <c r="K25" s="243" t="s">
        <v>87</v>
      </c>
      <c r="L25" s="243" t="s">
        <v>81</v>
      </c>
      <c r="M25" s="298" t="s">
        <v>65</v>
      </c>
      <c r="N25" s="110" t="s">
        <v>80</v>
      </c>
      <c r="O25" s="2" t="s">
        <v>46</v>
      </c>
      <c r="P25" s="2" t="s">
        <v>102</v>
      </c>
      <c r="Q25" s="2" t="s">
        <v>59</v>
      </c>
      <c r="R25" s="159" t="s">
        <v>106</v>
      </c>
      <c r="S25" s="51"/>
      <c r="T25" s="1"/>
    </row>
    <row r="26" spans="1:20">
      <c r="A26" s="159">
        <v>25</v>
      </c>
      <c r="B26" s="264" t="s">
        <v>355</v>
      </c>
      <c r="C26" s="297" t="s">
        <v>107</v>
      </c>
      <c r="D26" s="243" t="s">
        <v>89</v>
      </c>
      <c r="E26" s="243" t="s">
        <v>97</v>
      </c>
      <c r="F26" s="243" t="s">
        <v>80</v>
      </c>
      <c r="G26" s="243" t="s">
        <v>63</v>
      </c>
      <c r="H26" s="243" t="s">
        <v>59</v>
      </c>
      <c r="I26" s="243" t="s">
        <v>70</v>
      </c>
      <c r="J26" s="243" t="s">
        <v>51</v>
      </c>
      <c r="K26" s="243" t="s">
        <v>106</v>
      </c>
      <c r="L26" s="243" t="s">
        <v>94</v>
      </c>
      <c r="M26" s="298" t="s">
        <v>65</v>
      </c>
      <c r="N26" s="110" t="s">
        <v>81</v>
      </c>
      <c r="O26" s="2" t="s">
        <v>46</v>
      </c>
      <c r="P26" s="2" t="s">
        <v>102</v>
      </c>
      <c r="Q26" s="2" t="s">
        <v>73</v>
      </c>
      <c r="R26" s="159" t="s">
        <v>87</v>
      </c>
      <c r="S26" s="51"/>
      <c r="T26" s="1"/>
    </row>
    <row r="27" spans="1:20">
      <c r="A27" s="159">
        <v>26</v>
      </c>
      <c r="B27" s="264" t="s">
        <v>365</v>
      </c>
      <c r="C27" s="297" t="s">
        <v>107</v>
      </c>
      <c r="D27" s="243" t="s">
        <v>97</v>
      </c>
      <c r="E27" s="243" t="s">
        <v>96</v>
      </c>
      <c r="F27" s="243" t="s">
        <v>63</v>
      </c>
      <c r="G27" s="243" t="s">
        <v>52</v>
      </c>
      <c r="H27" s="243" t="s">
        <v>73</v>
      </c>
      <c r="I27" s="243" t="s">
        <v>59</v>
      </c>
      <c r="J27" s="243" t="s">
        <v>51</v>
      </c>
      <c r="K27" s="243" t="s">
        <v>102</v>
      </c>
      <c r="L27" s="243" t="s">
        <v>46</v>
      </c>
      <c r="M27" s="298" t="s">
        <v>81</v>
      </c>
      <c r="N27" s="110" t="s">
        <v>87</v>
      </c>
      <c r="O27" s="2" t="s">
        <v>70</v>
      </c>
      <c r="P27" s="2" t="s">
        <v>65</v>
      </c>
      <c r="Q27" s="2" t="s">
        <v>106</v>
      </c>
      <c r="R27" s="159"/>
      <c r="S27" s="51"/>
      <c r="T27" s="1"/>
    </row>
    <row r="28" spans="1:20">
      <c r="A28" s="159">
        <v>27</v>
      </c>
      <c r="B28" s="264" t="s">
        <v>341</v>
      </c>
      <c r="C28" s="297" t="s">
        <v>107</v>
      </c>
      <c r="D28" s="243" t="s">
        <v>89</v>
      </c>
      <c r="E28" s="243" t="s">
        <v>97</v>
      </c>
      <c r="F28" s="243" t="s">
        <v>63</v>
      </c>
      <c r="G28" s="243" t="s">
        <v>52</v>
      </c>
      <c r="H28" s="243" t="s">
        <v>59</v>
      </c>
      <c r="I28" s="243" t="s">
        <v>51</v>
      </c>
      <c r="J28" s="243" t="s">
        <v>83</v>
      </c>
      <c r="K28" s="243" t="s">
        <v>106</v>
      </c>
      <c r="L28" s="243" t="s">
        <v>46</v>
      </c>
      <c r="M28" s="298" t="s">
        <v>81</v>
      </c>
      <c r="N28" s="110" t="s">
        <v>96</v>
      </c>
      <c r="O28" s="2" t="s">
        <v>70</v>
      </c>
      <c r="P28" s="2" t="s">
        <v>87</v>
      </c>
      <c r="Q28" s="2" t="s">
        <v>65</v>
      </c>
      <c r="R28" s="159" t="s">
        <v>94</v>
      </c>
      <c r="S28" s="51"/>
      <c r="T28" s="1"/>
    </row>
    <row r="29" spans="1:20">
      <c r="A29" s="159">
        <v>28</v>
      </c>
      <c r="B29" s="264" t="s">
        <v>362</v>
      </c>
      <c r="C29" s="297" t="s">
        <v>107</v>
      </c>
      <c r="D29" s="243" t="s">
        <v>89</v>
      </c>
      <c r="E29" s="243" t="s">
        <v>105</v>
      </c>
      <c r="F29" s="243" t="s">
        <v>63</v>
      </c>
      <c r="G29" s="243" t="s">
        <v>52</v>
      </c>
      <c r="H29" s="243" t="s">
        <v>73</v>
      </c>
      <c r="I29" s="243" t="s">
        <v>59</v>
      </c>
      <c r="J29" s="243" t="s">
        <v>51</v>
      </c>
      <c r="K29" s="243" t="s">
        <v>102</v>
      </c>
      <c r="L29" s="243" t="s">
        <v>46</v>
      </c>
      <c r="M29" s="298" t="s">
        <v>65</v>
      </c>
      <c r="N29" s="110" t="s">
        <v>70</v>
      </c>
      <c r="O29" s="2" t="s">
        <v>81</v>
      </c>
      <c r="P29" s="2" t="s">
        <v>106</v>
      </c>
      <c r="Q29" s="159" t="s">
        <v>87</v>
      </c>
      <c r="R29" s="159" t="s">
        <v>80</v>
      </c>
      <c r="S29" s="51"/>
      <c r="T29" s="1"/>
    </row>
    <row r="30" spans="1:20">
      <c r="A30" s="159">
        <v>29</v>
      </c>
      <c r="B30" s="264" t="s">
        <v>360</v>
      </c>
      <c r="C30" s="297" t="s">
        <v>107</v>
      </c>
      <c r="D30" s="243" t="s">
        <v>89</v>
      </c>
      <c r="E30" s="243" t="s">
        <v>105</v>
      </c>
      <c r="F30" s="243" t="s">
        <v>63</v>
      </c>
      <c r="G30" s="243" t="s">
        <v>52</v>
      </c>
      <c r="H30" s="243" t="s">
        <v>73</v>
      </c>
      <c r="I30" s="243" t="s">
        <v>70</v>
      </c>
      <c r="J30" s="243" t="s">
        <v>51</v>
      </c>
      <c r="K30" s="243" t="s">
        <v>102</v>
      </c>
      <c r="L30" s="243" t="s">
        <v>46</v>
      </c>
      <c r="M30" s="298" t="s">
        <v>81</v>
      </c>
      <c r="N30" s="110" t="s">
        <v>59</v>
      </c>
      <c r="O30" s="2" t="s">
        <v>87</v>
      </c>
      <c r="P30" s="2" t="s">
        <v>83</v>
      </c>
      <c r="Q30" s="159" t="s">
        <v>65</v>
      </c>
      <c r="R30" s="159"/>
      <c r="S30" s="51"/>
      <c r="T30" s="1"/>
    </row>
    <row r="31" spans="1:20">
      <c r="A31" s="159">
        <v>30</v>
      </c>
      <c r="B31" s="264" t="s">
        <v>353</v>
      </c>
      <c r="C31" s="297" t="s">
        <v>107</v>
      </c>
      <c r="D31" s="243" t="s">
        <v>89</v>
      </c>
      <c r="E31" s="243" t="s">
        <v>97</v>
      </c>
      <c r="F31" s="243" t="s">
        <v>63</v>
      </c>
      <c r="G31" s="243" t="s">
        <v>52</v>
      </c>
      <c r="H31" s="243" t="s">
        <v>73</v>
      </c>
      <c r="I31" s="243" t="s">
        <v>51</v>
      </c>
      <c r="J31" s="243" t="s">
        <v>102</v>
      </c>
      <c r="K31" s="243" t="s">
        <v>81</v>
      </c>
      <c r="L31" s="243" t="s">
        <v>46</v>
      </c>
      <c r="M31" s="298" t="s">
        <v>65</v>
      </c>
      <c r="N31" s="110" t="s">
        <v>70</v>
      </c>
      <c r="O31" s="2" t="s">
        <v>80</v>
      </c>
      <c r="P31" s="2" t="s">
        <v>83</v>
      </c>
      <c r="Q31" s="159" t="s">
        <v>106</v>
      </c>
      <c r="R31" s="159"/>
      <c r="S31" s="51"/>
      <c r="T31" s="1"/>
    </row>
    <row r="32" spans="1:20">
      <c r="A32" s="159">
        <v>31</v>
      </c>
      <c r="B32" s="264" t="s">
        <v>349</v>
      </c>
      <c r="C32" s="297" t="s">
        <v>107</v>
      </c>
      <c r="D32" s="243" t="s">
        <v>89</v>
      </c>
      <c r="E32" s="243" t="s">
        <v>97</v>
      </c>
      <c r="F32" s="243" t="s">
        <v>63</v>
      </c>
      <c r="G32" s="243" t="s">
        <v>52</v>
      </c>
      <c r="H32" s="243" t="s">
        <v>73</v>
      </c>
      <c r="I32" s="243" t="s">
        <v>87</v>
      </c>
      <c r="J32" s="243" t="s">
        <v>106</v>
      </c>
      <c r="K32" s="243" t="s">
        <v>102</v>
      </c>
      <c r="L32" s="243" t="s">
        <v>46</v>
      </c>
      <c r="M32" s="298" t="s">
        <v>81</v>
      </c>
      <c r="N32" s="110" t="s">
        <v>59</v>
      </c>
      <c r="O32" s="2" t="s">
        <v>70</v>
      </c>
      <c r="P32" s="2" t="s">
        <v>65</v>
      </c>
      <c r="Q32" s="159" t="s">
        <v>54</v>
      </c>
      <c r="R32" s="159" t="s">
        <v>51</v>
      </c>
      <c r="S32" s="51"/>
      <c r="T32" s="1"/>
    </row>
    <row r="33" spans="1:20">
      <c r="A33" s="159">
        <v>32</v>
      </c>
      <c r="B33" s="264" t="s">
        <v>369</v>
      </c>
      <c r="C33" s="297" t="s">
        <v>107</v>
      </c>
      <c r="D33" s="243" t="s">
        <v>63</v>
      </c>
      <c r="E33" s="243" t="s">
        <v>89</v>
      </c>
      <c r="F33" s="243" t="s">
        <v>97</v>
      </c>
      <c r="G33" s="243" t="s">
        <v>52</v>
      </c>
      <c r="H33" s="243" t="s">
        <v>102</v>
      </c>
      <c r="I33" s="243" t="s">
        <v>106</v>
      </c>
      <c r="J33" s="243" t="s">
        <v>73</v>
      </c>
      <c r="K33" s="243" t="s">
        <v>81</v>
      </c>
      <c r="L33" s="243" t="s">
        <v>46</v>
      </c>
      <c r="M33" s="298" t="s">
        <v>65</v>
      </c>
      <c r="N33" s="110" t="s">
        <v>70</v>
      </c>
      <c r="O33" s="2" t="s">
        <v>87</v>
      </c>
      <c r="P33" s="2" t="s">
        <v>51</v>
      </c>
      <c r="Q33" s="159" t="s">
        <v>54</v>
      </c>
      <c r="R33" s="159"/>
      <c r="S33" s="51"/>
      <c r="T33" s="1"/>
    </row>
    <row r="34" spans="1:20">
      <c r="A34" s="159">
        <v>33</v>
      </c>
      <c r="B34" s="264" t="s">
        <v>367</v>
      </c>
      <c r="C34" s="297" t="s">
        <v>107</v>
      </c>
      <c r="D34" s="243" t="s">
        <v>63</v>
      </c>
      <c r="E34" s="243" t="s">
        <v>89</v>
      </c>
      <c r="F34" s="243" t="s">
        <v>97</v>
      </c>
      <c r="G34" s="243" t="s">
        <v>52</v>
      </c>
      <c r="H34" s="243" t="s">
        <v>102</v>
      </c>
      <c r="I34" s="243" t="s">
        <v>73</v>
      </c>
      <c r="J34" s="243" t="s">
        <v>51</v>
      </c>
      <c r="K34" s="243" t="s">
        <v>87</v>
      </c>
      <c r="L34" s="243" t="s">
        <v>46</v>
      </c>
      <c r="M34" s="298" t="s">
        <v>81</v>
      </c>
      <c r="N34" s="110" t="s">
        <v>59</v>
      </c>
      <c r="O34" s="2" t="s">
        <v>65</v>
      </c>
      <c r="P34" s="2" t="s">
        <v>54</v>
      </c>
      <c r="Q34" s="159" t="s">
        <v>106</v>
      </c>
      <c r="R34" s="159" t="s">
        <v>70</v>
      </c>
      <c r="S34" s="51"/>
      <c r="T34" s="1"/>
    </row>
    <row r="35" spans="1:20">
      <c r="A35" s="159">
        <v>34</v>
      </c>
      <c r="B35" s="264"/>
      <c r="C35" s="297"/>
      <c r="D35" s="243"/>
      <c r="E35" s="243"/>
      <c r="F35" s="243"/>
      <c r="G35" s="243"/>
      <c r="H35" s="243"/>
      <c r="I35" s="243"/>
      <c r="J35" s="243"/>
      <c r="K35" s="243"/>
      <c r="L35" s="243"/>
      <c r="M35" s="298"/>
      <c r="N35" s="110"/>
      <c r="O35" s="2"/>
      <c r="P35" s="2"/>
      <c r="Q35" s="159"/>
      <c r="R35" s="159"/>
      <c r="S35" s="51"/>
      <c r="T35" s="1"/>
    </row>
    <row r="36" spans="1:20">
      <c r="A36" s="159">
        <v>35</v>
      </c>
      <c r="B36" s="264"/>
      <c r="C36" s="297"/>
      <c r="D36" s="243"/>
      <c r="E36" s="243"/>
      <c r="F36" s="243"/>
      <c r="G36" s="243"/>
      <c r="H36" s="243"/>
      <c r="I36" s="243"/>
      <c r="J36" s="243"/>
      <c r="K36" s="243"/>
      <c r="L36" s="243"/>
      <c r="M36" s="298"/>
      <c r="N36" s="110"/>
      <c r="O36" s="2"/>
      <c r="P36" s="2"/>
      <c r="Q36" s="159"/>
      <c r="R36" s="159"/>
      <c r="S36" s="51"/>
      <c r="T36" s="1"/>
    </row>
    <row r="37" spans="1:20">
      <c r="A37" s="159">
        <v>36</v>
      </c>
      <c r="B37" s="264"/>
      <c r="C37" s="297"/>
      <c r="D37" s="243"/>
      <c r="E37" s="243"/>
      <c r="F37" s="243"/>
      <c r="G37" s="243"/>
      <c r="H37" s="243"/>
      <c r="I37" s="243"/>
      <c r="J37" s="243"/>
      <c r="K37" s="243"/>
      <c r="L37" s="243"/>
      <c r="M37" s="298"/>
      <c r="N37" s="110"/>
      <c r="O37" s="2"/>
      <c r="P37" s="2"/>
      <c r="Q37" s="2"/>
      <c r="R37" s="159"/>
      <c r="S37" s="51"/>
      <c r="T37" s="1"/>
    </row>
    <row r="38" spans="1:20">
      <c r="A38" s="159">
        <v>37</v>
      </c>
      <c r="B38" s="264"/>
      <c r="C38" s="297"/>
      <c r="D38" s="243"/>
      <c r="E38" s="243"/>
      <c r="F38" s="243"/>
      <c r="G38" s="243"/>
      <c r="H38" s="243"/>
      <c r="I38" s="243"/>
      <c r="J38" s="243"/>
      <c r="K38" s="243"/>
      <c r="L38" s="243"/>
      <c r="M38" s="298"/>
      <c r="N38" s="110"/>
      <c r="O38" s="2"/>
      <c r="P38" s="2"/>
      <c r="Q38" s="2"/>
      <c r="R38" s="159"/>
      <c r="S38" s="51"/>
      <c r="T38" s="1"/>
    </row>
    <row r="39" spans="1:20">
      <c r="A39" s="159">
        <v>38</v>
      </c>
      <c r="B39" s="390"/>
      <c r="C39" s="297"/>
      <c r="D39" s="243"/>
      <c r="E39" s="243"/>
      <c r="F39" s="243"/>
      <c r="G39" s="243"/>
      <c r="H39" s="243"/>
      <c r="I39" s="243"/>
      <c r="J39" s="243"/>
      <c r="K39" s="243"/>
      <c r="L39" s="243"/>
      <c r="M39" s="298"/>
      <c r="N39" s="110"/>
      <c r="O39" s="2"/>
      <c r="P39" s="2"/>
      <c r="Q39" s="2"/>
      <c r="R39" s="159"/>
      <c r="S39" s="51"/>
      <c r="T39" s="1"/>
    </row>
    <row r="41" spans="1:20" ht="17.5" customHeight="1">
      <c r="A41" s="436" t="s">
        <v>132</v>
      </c>
    </row>
    <row r="42" spans="1:20">
      <c r="A42" s="438" t="s">
        <v>5</v>
      </c>
      <c r="B42" s="439" t="s">
        <v>6</v>
      </c>
      <c r="C42" s="439" t="s">
        <v>40</v>
      </c>
      <c r="D42" s="439" t="s">
        <v>133</v>
      </c>
      <c r="E42" s="440" t="s">
        <v>10</v>
      </c>
    </row>
    <row r="43" spans="1:20">
      <c r="A43" s="437">
        <v>1</v>
      </c>
      <c r="B43" s="2" t="s">
        <v>44</v>
      </c>
      <c r="C43" s="2">
        <v>1</v>
      </c>
      <c r="D43" s="96">
        <v>12288</v>
      </c>
      <c r="E43" s="269" t="s">
        <v>33</v>
      </c>
    </row>
    <row r="44" spans="1:20">
      <c r="A44" s="437">
        <v>2</v>
      </c>
      <c r="B44" s="2" t="s">
        <v>48</v>
      </c>
      <c r="C44" s="2">
        <v>1</v>
      </c>
      <c r="D44" s="96">
        <v>13443</v>
      </c>
      <c r="E44" s="269" t="s">
        <v>33</v>
      </c>
    </row>
    <row r="45" spans="1:20">
      <c r="A45" s="437">
        <v>3</v>
      </c>
      <c r="B45" s="2" t="s">
        <v>57</v>
      </c>
      <c r="C45" s="2">
        <v>1</v>
      </c>
      <c r="D45" s="96">
        <v>12841</v>
      </c>
      <c r="E45" s="269" t="s">
        <v>32</v>
      </c>
    </row>
    <row r="46" spans="1:20">
      <c r="A46" s="437">
        <v>4</v>
      </c>
      <c r="B46" s="2" t="s">
        <v>61</v>
      </c>
      <c r="C46" s="2">
        <v>1</v>
      </c>
      <c r="D46" s="96">
        <v>13297</v>
      </c>
      <c r="E46" s="269" t="s">
        <v>33</v>
      </c>
    </row>
    <row r="47" spans="1:20">
      <c r="A47" s="437">
        <v>5</v>
      </c>
      <c r="B47" s="2" t="s">
        <v>68</v>
      </c>
      <c r="C47" s="2">
        <v>4</v>
      </c>
      <c r="D47" s="96">
        <v>12124</v>
      </c>
      <c r="E47" s="269" t="s">
        <v>31</v>
      </c>
    </row>
    <row r="48" spans="1:20">
      <c r="A48" s="437">
        <v>6</v>
      </c>
      <c r="B48" s="2" t="s">
        <v>72</v>
      </c>
      <c r="C48" s="2">
        <v>4</v>
      </c>
      <c r="D48" s="96">
        <v>12034</v>
      </c>
      <c r="E48" s="269" t="s">
        <v>31</v>
      </c>
    </row>
    <row r="49" spans="1:5">
      <c r="A49" s="437">
        <v>7</v>
      </c>
      <c r="B49" s="2" t="s">
        <v>55</v>
      </c>
      <c r="C49" s="2">
        <v>1</v>
      </c>
      <c r="D49" s="96">
        <v>13411</v>
      </c>
      <c r="E49" s="269" t="s">
        <v>33</v>
      </c>
    </row>
    <row r="50" spans="1:5">
      <c r="A50" s="437">
        <v>8</v>
      </c>
      <c r="B50" s="2" t="s">
        <v>78</v>
      </c>
      <c r="C50" s="2">
        <v>1</v>
      </c>
      <c r="D50" s="96">
        <v>12077</v>
      </c>
      <c r="E50" s="269" t="s">
        <v>32</v>
      </c>
    </row>
    <row r="51" spans="1:5">
      <c r="A51" s="437">
        <v>9</v>
      </c>
      <c r="B51" s="2" t="s">
        <v>67</v>
      </c>
      <c r="C51" s="2">
        <v>2</v>
      </c>
      <c r="D51" s="96">
        <v>12721</v>
      </c>
      <c r="E51" s="269" t="s">
        <v>31</v>
      </c>
    </row>
    <row r="52" spans="1:5">
      <c r="A52" s="437">
        <v>10</v>
      </c>
      <c r="B52" s="2" t="s">
        <v>77</v>
      </c>
      <c r="C52" s="2">
        <v>6</v>
      </c>
      <c r="D52" s="96">
        <v>11755</v>
      </c>
      <c r="E52" s="269" t="s">
        <v>31</v>
      </c>
    </row>
    <row r="53" spans="1:5">
      <c r="A53" s="374">
        <v>11</v>
      </c>
      <c r="B53" s="266" t="s">
        <v>71</v>
      </c>
      <c r="C53" s="2">
        <v>6</v>
      </c>
      <c r="D53" s="96">
        <v>11846</v>
      </c>
      <c r="E53" s="269" t="s">
        <v>33</v>
      </c>
    </row>
    <row r="54" spans="1:5">
      <c r="A54" s="399">
        <v>12</v>
      </c>
      <c r="B54" s="319" t="s">
        <v>61</v>
      </c>
      <c r="C54" s="2">
        <v>1</v>
      </c>
      <c r="D54" s="96">
        <v>12124</v>
      </c>
      <c r="E54" s="269" t="s">
        <v>32</v>
      </c>
    </row>
    <row r="55" spans="1:5">
      <c r="A55" s="399">
        <v>13</v>
      </c>
      <c r="B55" s="319" t="s">
        <v>72</v>
      </c>
      <c r="C55" s="2">
        <v>3</v>
      </c>
      <c r="D55" s="96">
        <v>12096</v>
      </c>
      <c r="E55" s="269" t="s">
        <v>31</v>
      </c>
    </row>
    <row r="56" spans="1:5">
      <c r="A56" s="415">
        <v>14</v>
      </c>
      <c r="B56" s="412" t="s">
        <v>57</v>
      </c>
      <c r="C56" s="441">
        <v>3</v>
      </c>
      <c r="D56" s="442">
        <v>12122</v>
      </c>
      <c r="E56" s="280" t="s">
        <v>33</v>
      </c>
    </row>
    <row r="57" spans="1:5">
      <c r="A57" s="415">
        <v>15</v>
      </c>
      <c r="B57" s="413" t="s">
        <v>48</v>
      </c>
      <c r="C57" s="441">
        <v>6</v>
      </c>
      <c r="D57" s="442">
        <v>11820</v>
      </c>
      <c r="E57" s="280" t="s">
        <v>31</v>
      </c>
    </row>
    <row r="58" spans="1:5" hidden="1">
      <c r="A58" s="399">
        <v>16</v>
      </c>
      <c r="B58" s="352" t="s">
        <v>44</v>
      </c>
      <c r="C58" s="2"/>
      <c r="D58" s="96"/>
      <c r="E58" s="269"/>
    </row>
    <row r="59" spans="1:5" hidden="1">
      <c r="A59" s="399">
        <v>17</v>
      </c>
      <c r="B59" s="352" t="s">
        <v>68</v>
      </c>
      <c r="C59" s="2"/>
      <c r="D59" s="96"/>
      <c r="E59" s="269"/>
    </row>
    <row r="60" spans="1:5" hidden="1">
      <c r="A60" s="399">
        <v>18</v>
      </c>
      <c r="B60" s="352" t="s">
        <v>67</v>
      </c>
      <c r="C60" s="2"/>
      <c r="D60" s="96"/>
      <c r="E60" s="269"/>
    </row>
    <row r="61" spans="1:5" hidden="1">
      <c r="A61" s="399">
        <v>19</v>
      </c>
      <c r="B61" s="352" t="s">
        <v>55</v>
      </c>
      <c r="C61" s="2"/>
      <c r="D61" s="96"/>
      <c r="E61" s="269"/>
    </row>
    <row r="62" spans="1:5" hidden="1">
      <c r="A62" s="399">
        <v>20</v>
      </c>
      <c r="B62" s="352" t="s">
        <v>78</v>
      </c>
      <c r="C62" s="2"/>
      <c r="D62" s="96"/>
      <c r="E62" s="269"/>
    </row>
    <row r="63" spans="1:5" hidden="1">
      <c r="A63" s="399">
        <v>21</v>
      </c>
      <c r="B63" s="352" t="s">
        <v>77</v>
      </c>
      <c r="C63" s="2"/>
      <c r="D63" s="96"/>
      <c r="E63" s="269"/>
    </row>
    <row r="64" spans="1:5" hidden="1">
      <c r="A64" s="415">
        <v>22</v>
      </c>
      <c r="B64" s="413" t="s">
        <v>71</v>
      </c>
      <c r="C64" s="441"/>
      <c r="D64" s="442"/>
      <c r="E64" s="280"/>
    </row>
    <row r="65" spans="1:5" hidden="1">
      <c r="A65" s="399">
        <v>23</v>
      </c>
      <c r="B65" s="352" t="s">
        <v>72</v>
      </c>
      <c r="C65" s="2"/>
      <c r="D65" s="96"/>
      <c r="E65" s="269"/>
    </row>
    <row r="66" spans="1:5" hidden="1">
      <c r="A66" s="399">
        <v>24</v>
      </c>
      <c r="B66" s="352" t="s">
        <v>48</v>
      </c>
      <c r="C66" s="2"/>
      <c r="D66" s="96"/>
      <c r="E66" s="269"/>
    </row>
    <row r="67" spans="1:5" hidden="1">
      <c r="A67" s="399">
        <v>25</v>
      </c>
      <c r="B67" s="352" t="s">
        <v>68</v>
      </c>
      <c r="C67" s="2"/>
      <c r="D67" s="96"/>
      <c r="E67" s="269"/>
    </row>
    <row r="68" spans="1:5" hidden="1">
      <c r="A68" s="399">
        <v>26</v>
      </c>
      <c r="B68" s="352" t="s">
        <v>67</v>
      </c>
      <c r="C68" s="2"/>
      <c r="D68" s="96"/>
      <c r="E68" s="269"/>
    </row>
    <row r="69" spans="1:5" hidden="1">
      <c r="A69" s="399">
        <v>27</v>
      </c>
      <c r="B69" s="352" t="s">
        <v>44</v>
      </c>
      <c r="C69" s="2"/>
      <c r="D69" s="96"/>
      <c r="E69" s="269"/>
    </row>
    <row r="70" spans="1:5" hidden="1">
      <c r="A70" s="399">
        <v>28</v>
      </c>
      <c r="B70" s="352" t="s">
        <v>78</v>
      </c>
      <c r="C70" s="2"/>
      <c r="D70" s="96"/>
      <c r="E70" s="269"/>
    </row>
    <row r="71" spans="1:5" hidden="1">
      <c r="A71" s="399">
        <v>29</v>
      </c>
      <c r="B71" s="352" t="s">
        <v>55</v>
      </c>
      <c r="C71" s="2"/>
      <c r="D71" s="96"/>
      <c r="E71" s="269"/>
    </row>
    <row r="72" spans="1:5" hidden="1">
      <c r="A72" s="399">
        <v>30</v>
      </c>
      <c r="B72" s="352" t="s">
        <v>61</v>
      </c>
      <c r="C72" s="2"/>
      <c r="D72" s="96"/>
      <c r="E72" s="269"/>
    </row>
    <row r="73" spans="1:5" hidden="1">
      <c r="A73" s="399">
        <v>31</v>
      </c>
      <c r="B73" s="352" t="s">
        <v>57</v>
      </c>
      <c r="C73" s="2"/>
      <c r="D73" s="96"/>
      <c r="E73" s="269"/>
    </row>
    <row r="74" spans="1:5" hidden="1">
      <c r="A74" s="399">
        <v>32</v>
      </c>
      <c r="B74" s="352" t="s">
        <v>71</v>
      </c>
      <c r="C74" s="2"/>
      <c r="D74" s="96"/>
      <c r="E74" s="269"/>
    </row>
    <row r="75" spans="1:5" hidden="1">
      <c r="A75" s="415">
        <v>33</v>
      </c>
      <c r="B75" s="413" t="s">
        <v>77</v>
      </c>
      <c r="C75" s="441"/>
      <c r="D75" s="442"/>
      <c r="E75" s="280"/>
    </row>
    <row r="76" spans="1:5">
      <c r="A76" s="1"/>
      <c r="B76" s="1"/>
      <c r="C76" s="1"/>
      <c r="D76" s="443"/>
      <c r="E76" s="444"/>
    </row>
    <row r="77" spans="1:5">
      <c r="A77" s="448" t="s">
        <v>134</v>
      </c>
      <c r="B77" s="448" t="s">
        <v>122</v>
      </c>
      <c r="C77" s="448" t="s">
        <v>10</v>
      </c>
      <c r="D77" s="448" t="s">
        <v>35</v>
      </c>
      <c r="E77" s="448"/>
    </row>
    <row r="78" spans="1:5">
      <c r="A78" s="445" t="s">
        <v>135</v>
      </c>
      <c r="B78" s="445">
        <f>COUNTIF(기록표[순위],1)</f>
        <v>7</v>
      </c>
      <c r="C78" s="445" t="str">
        <f>_xlfn.TEXTJOIN(" ",TRUE,
IF(COUNTIFS(기록표[순위],1,기록표[결과],"승")=0,"",COUNTIFS(기록표[순위],1,기록표[결과],"승")&amp;"승"),
IF(COUNTIFS(기록표[순위],1,기록표[결과],"무")=0,"",COUNTIFS(기록표[순위],1,기록표[결과],"무")&amp;"무"),
IF(COUNTIFS(기록표[순위],1,기록표[결과],"패")=0,"",COUNTIFS(기록표[순위],1,기록표[결과],"패")&amp;"패"))</f>
        <v>3무 4패</v>
      </c>
      <c r="D78" s="446">
        <f>IFERROR(COUNTIFS(기록표[순위],1,기록표[결과],"승")/COUNTIF(기록표[순위],1),0)</f>
        <v>0</v>
      </c>
      <c r="E78" s="447">
        <f>IFERROR(AVERAGEIF(기록표[순위],1,기록표[거리(m)]),0)</f>
        <v>12783</v>
      </c>
    </row>
    <row r="79" spans="1:5">
      <c r="A79" s="445" t="s">
        <v>136</v>
      </c>
      <c r="B79" s="445">
        <f>COUNTIF(기록표[순위],"&lt;&gt;1")</f>
        <v>8</v>
      </c>
      <c r="C79" s="445" t="str">
        <f>_xlfn.TEXTJOIN(" ",TRUE,
IF(COUNTIFS(기록표[순위],"&lt;&gt;1",기록표[결과],"승")=0,"",COUNTIFS(기록표[순위],"&lt;&gt;1",기록표[결과],"승")&amp;"승"),
IF(COUNTIFS(기록표[순위],"&lt;&gt;1",기록표[결과],"무")=0,"",COUNTIFS(기록표[순위],"&lt;&gt;1",기록표[결과],"무")&amp;"무"),
IF(COUNTIFS(기록표[순위],"&lt;&gt;1",기록표[결과],"패")=0,"",COUNTIFS(기록표[순위],"&lt;&gt;1",기록표[결과],"패")&amp;"패"))</f>
        <v>6승 2패</v>
      </c>
      <c r="D79" s="446">
        <f>IFERROR(COUNTIFS(기록표[순위],"&lt;&gt;1",기록표[결과],"승")/COUNTIF(기록표[순위],"&lt;&gt;1"),0)</f>
        <v>0.75</v>
      </c>
      <c r="E79" s="447">
        <f>IFERROR(AVERAGEIF(기록표[순위],"&lt;&gt;1",기록표[거리(m)]),0)</f>
        <v>12064.75</v>
      </c>
    </row>
    <row r="80" spans="1:5">
      <c r="A80" s="448" t="s">
        <v>137</v>
      </c>
      <c r="B80" s="448">
        <f>COUNTA(기록표[결과])</f>
        <v>15</v>
      </c>
      <c r="C80" s="448"/>
      <c r="D80" s="449">
        <f>IFERROR(COUNTIF(기록표[결과],"승")/COUNTA(기록표[결과]),0)</f>
        <v>0.4</v>
      </c>
      <c r="E80" s="450">
        <f>IFERROR(AVERAGE(기록표[거리(m)]),0)</f>
        <v>12399.933333333332</v>
      </c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</sheetData>
  <phoneticPr fontId="3" type="noConversion"/>
  <conditionalFormatting sqref="A2:S39">
    <cfRule type="expression" dxfId="75" priority="1">
      <formula>AND($A2&lt;&gt;"",$C2="")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51"/>
  <sheetViews>
    <sheetView showGridLines="0" topLeftCell="AK6" zoomScaleNormal="100" workbookViewId="0">
      <selection activeCell="N49" sqref="N49:P50"/>
    </sheetView>
  </sheetViews>
  <sheetFormatPr defaultRowHeight="17"/>
  <cols>
    <col min="2" max="2" width="8" style="18" bestFit="1" customWidth="1"/>
    <col min="3" max="3" width="5.08203125" style="18" bestFit="1" customWidth="1"/>
    <col min="4" max="4" width="6.9140625" style="18" bestFit="1" customWidth="1"/>
    <col min="5" max="5" width="9.25" style="18" bestFit="1" customWidth="1"/>
    <col min="6" max="6" width="7.75" style="18" bestFit="1" customWidth="1"/>
    <col min="7" max="9" width="5.08203125" style="18" bestFit="1" customWidth="1"/>
    <col min="10" max="10" width="8.83203125" style="18" hidden="1" customWidth="1"/>
    <col min="11" max="11" width="5.08203125" style="18" hidden="1" customWidth="1"/>
    <col min="12" max="12" width="6.9140625" style="18" hidden="1" customWidth="1"/>
    <col min="13" max="13" width="9.25" style="452" customWidth="1"/>
    <col min="14" max="14" width="9.25" style="452" bestFit="1" customWidth="1"/>
    <col min="15" max="15" width="10.5" style="452" bestFit="1" customWidth="1"/>
    <col min="16" max="16" width="9" style="452" bestFit="1" customWidth="1"/>
    <col min="17" max="17" width="9.25" style="452" bestFit="1" customWidth="1"/>
    <col min="18" max="18" width="9.33203125" style="452" customWidth="1"/>
    <col min="19" max="19" width="9" style="452" bestFit="1" customWidth="1"/>
    <col min="20" max="20" width="10.75" style="452" customWidth="1"/>
    <col min="21" max="21" width="8.33203125" style="452" customWidth="1"/>
    <col min="22" max="22" width="8.58203125" style="452" bestFit="1" customWidth="1"/>
    <col min="23" max="23" width="10" style="452" customWidth="1"/>
    <col min="24" max="24" width="9" style="452" bestFit="1" customWidth="1"/>
    <col min="25" max="25" width="5.5" style="452" bestFit="1" customWidth="1"/>
    <col min="26" max="37" width="5.25" style="452" bestFit="1" customWidth="1"/>
    <col min="38" max="38" width="6.33203125" style="452" bestFit="1" customWidth="1"/>
    <col min="39" max="39" width="9" style="452" bestFit="1" customWidth="1"/>
    <col min="40" max="40" width="5.5" style="452" bestFit="1" customWidth="1"/>
    <col min="41" max="41" width="4" style="452" bestFit="1" customWidth="1"/>
    <col min="42" max="43" width="3.58203125" style="452" bestFit="1" customWidth="1"/>
    <col min="44" max="44" width="5.5" style="452" bestFit="1" customWidth="1"/>
    <col min="45" max="45" width="6.08203125" style="452" customWidth="1"/>
    <col min="46" max="48" width="5.5" style="452" bestFit="1" customWidth="1"/>
    <col min="49" max="51" width="9.83203125" style="452" customWidth="1"/>
    <col min="52" max="52" width="9.08203125" style="452" bestFit="1" customWidth="1"/>
    <col min="53" max="53" width="7.08203125" style="452" bestFit="1" customWidth="1"/>
    <col min="54" max="54" width="5.5" style="452" bestFit="1" customWidth="1"/>
    <col min="55" max="55" width="4" style="452" bestFit="1" customWidth="1"/>
    <col min="56" max="57" width="3.58203125" style="452" bestFit="1" customWidth="1"/>
    <col min="58" max="58" width="5.5" style="452" bestFit="1" customWidth="1"/>
    <col min="59" max="59" width="6.75" style="452" bestFit="1" customWidth="1"/>
    <col min="60" max="60" width="9.25" style="452" bestFit="1" customWidth="1"/>
  </cols>
  <sheetData>
    <row r="1" spans="1:60" ht="17.5" customHeight="1" thickBot="1">
      <c r="Y1" t="s">
        <v>0</v>
      </c>
      <c r="AB1" t="s">
        <v>0</v>
      </c>
      <c r="AE1" t="s">
        <v>1</v>
      </c>
      <c r="AH1" t="s">
        <v>1</v>
      </c>
    </row>
    <row r="2" spans="1:60" ht="17.5" customHeight="1" thickBot="1">
      <c r="A2" s="302" t="s">
        <v>2</v>
      </c>
      <c r="B2" s="303" t="s">
        <v>3</v>
      </c>
      <c r="C2" s="303" t="s">
        <v>4</v>
      </c>
      <c r="D2" s="303" t="s">
        <v>5</v>
      </c>
      <c r="E2" s="303" t="s">
        <v>6</v>
      </c>
      <c r="F2" s="303" t="s">
        <v>7</v>
      </c>
      <c r="G2" s="303" t="s">
        <v>8</v>
      </c>
      <c r="H2" s="303" t="s">
        <v>9</v>
      </c>
      <c r="I2" s="304" t="s">
        <v>10</v>
      </c>
      <c r="J2" s="303" t="s">
        <v>11</v>
      </c>
      <c r="K2" s="303" t="s">
        <v>12</v>
      </c>
      <c r="L2" s="304" t="s">
        <v>13</v>
      </c>
      <c r="M2" s="365" t="s">
        <v>14</v>
      </c>
      <c r="N2" s="366" t="s">
        <v>15</v>
      </c>
      <c r="O2" s="366" t="s">
        <v>16</v>
      </c>
      <c r="P2" s="307" t="s">
        <v>17</v>
      </c>
      <c r="Q2" s="305" t="s">
        <v>18</v>
      </c>
      <c r="R2" s="303" t="s">
        <v>19</v>
      </c>
      <c r="S2" s="303" t="s">
        <v>20</v>
      </c>
      <c r="T2" s="303" t="s">
        <v>21</v>
      </c>
      <c r="U2" s="306" t="s">
        <v>22</v>
      </c>
      <c r="V2" s="307" t="s">
        <v>23</v>
      </c>
      <c r="X2" s="343" t="s">
        <v>24</v>
      </c>
      <c r="Y2" s="344" t="s">
        <v>25</v>
      </c>
      <c r="Z2" s="345" t="s">
        <v>26</v>
      </c>
      <c r="AA2" s="346" t="s">
        <v>27</v>
      </c>
      <c r="AB2" s="347" t="s">
        <v>8</v>
      </c>
      <c r="AC2" s="348" t="s">
        <v>28</v>
      </c>
      <c r="AD2" s="348" t="s">
        <v>29</v>
      </c>
      <c r="AE2" s="344" t="s">
        <v>25</v>
      </c>
      <c r="AF2" s="345" t="s">
        <v>26</v>
      </c>
      <c r="AG2" s="346" t="s">
        <v>27</v>
      </c>
      <c r="AH2" s="347" t="s">
        <v>8</v>
      </c>
      <c r="AI2" s="348" t="s">
        <v>28</v>
      </c>
      <c r="AJ2" s="348" t="s">
        <v>29</v>
      </c>
      <c r="AM2" s="337" t="s">
        <v>7</v>
      </c>
      <c r="AN2" s="337" t="s">
        <v>30</v>
      </c>
      <c r="AO2" s="337" t="s">
        <v>31</v>
      </c>
      <c r="AP2" s="337" t="s">
        <v>32</v>
      </c>
      <c r="AQ2" s="337" t="s">
        <v>33</v>
      </c>
      <c r="AR2" s="337" t="s">
        <v>34</v>
      </c>
      <c r="AS2" s="337" t="s">
        <v>35</v>
      </c>
      <c r="AT2" s="337" t="s">
        <v>8</v>
      </c>
      <c r="AU2" s="337" t="s">
        <v>9</v>
      </c>
      <c r="AV2" s="337" t="s">
        <v>36</v>
      </c>
      <c r="AW2" s="337" t="s">
        <v>37</v>
      </c>
      <c r="AX2" s="337" t="s">
        <v>38</v>
      </c>
      <c r="AY2" s="337" t="s">
        <v>39</v>
      </c>
      <c r="BA2" s="337" t="s">
        <v>23</v>
      </c>
      <c r="BB2" s="337" t="s">
        <v>30</v>
      </c>
      <c r="BC2" s="337" t="s">
        <v>31</v>
      </c>
      <c r="BD2" s="337" t="s">
        <v>32</v>
      </c>
      <c r="BE2" s="337" t="s">
        <v>33</v>
      </c>
      <c r="BF2" s="337" t="s">
        <v>34</v>
      </c>
      <c r="BG2" s="337" t="s">
        <v>35</v>
      </c>
      <c r="BH2" s="337" t="s">
        <v>138</v>
      </c>
    </row>
    <row r="3" spans="1:60">
      <c r="A3" s="245" t="s">
        <v>42</v>
      </c>
      <c r="B3" s="308">
        <v>45710</v>
      </c>
      <c r="C3" s="309" t="s">
        <v>43</v>
      </c>
      <c r="D3" s="283">
        <v>1</v>
      </c>
      <c r="E3" s="284" t="s">
        <v>139</v>
      </c>
      <c r="F3" s="285" t="s">
        <v>45</v>
      </c>
      <c r="G3" s="283">
        <v>2</v>
      </c>
      <c r="H3" s="283">
        <v>0</v>
      </c>
      <c r="I3" s="379" t="s">
        <v>31</v>
      </c>
      <c r="J3" s="373"/>
      <c r="K3" s="283"/>
      <c r="L3" s="286"/>
      <c r="M3" s="246" t="s">
        <v>46</v>
      </c>
      <c r="N3" s="270" t="s">
        <v>87</v>
      </c>
      <c r="O3" s="270"/>
      <c r="P3" s="271"/>
      <c r="Q3" s="287" t="s">
        <v>97</v>
      </c>
      <c r="R3" s="288" t="s">
        <v>140</v>
      </c>
      <c r="S3" s="288"/>
      <c r="T3" s="288"/>
      <c r="U3" s="289">
        <v>9363</v>
      </c>
      <c r="V3" s="274" t="s">
        <v>141</v>
      </c>
      <c r="X3" s="328" t="s">
        <v>46</v>
      </c>
      <c r="Y3" s="332">
        <f t="shared" ref="Y3:Y43" si="0">Z3+AA3</f>
        <v>34</v>
      </c>
      <c r="Z3" s="132">
        <f>COUNTIF('출전기록 (25)'!C$2:M$39,'2025 토탈'!X3)</f>
        <v>22</v>
      </c>
      <c r="AA3" s="132">
        <f>COUNTIF('출전기록 (25)'!N$2:S$39,'2025 토탈'!X3)</f>
        <v>12</v>
      </c>
      <c r="AB3" s="333">
        <f t="shared" ref="AB3:AB43" si="1">COUNTIF($M$3:$P$40,$X3)</f>
        <v>20</v>
      </c>
      <c r="AC3" s="334">
        <f t="shared" ref="AC3:AC43" si="2">COUNTIF(Q$3:T$40,X3)</f>
        <v>3</v>
      </c>
      <c r="AD3" s="335">
        <f t="shared" ref="AD3:AD43" si="3">AB3+AC3</f>
        <v>23</v>
      </c>
      <c r="AE3" s="332">
        <f t="shared" ref="AE3:AE43" si="4">AF3+AG3</f>
        <v>34</v>
      </c>
      <c r="AF3" s="132">
        <f>COUNTIF('출전기록 (25)'!W$2:AG$7,'2025 토탈'!X3)+Z3</f>
        <v>22</v>
      </c>
      <c r="AG3" s="132">
        <f>COUNTIF('출전기록 (25)'!AH$2:AM$7,'2025 토탈'!X3)+AA3</f>
        <v>12</v>
      </c>
      <c r="AH3" s="333">
        <f t="shared" ref="AH3:AH43" si="5">COUNTIF(M$3:P$46,$X3)</f>
        <v>20</v>
      </c>
      <c r="AI3" s="334">
        <f t="shared" ref="AI3:AI43" si="6">COUNTIF(Q$3:T$46,$X3)</f>
        <v>3</v>
      </c>
      <c r="AJ3" s="335">
        <f t="shared" ref="AJ3:AJ43" si="7">AH3+AI3</f>
        <v>23</v>
      </c>
      <c r="AM3" s="2" t="s">
        <v>45</v>
      </c>
      <c r="AN3" s="2">
        <f>SUM(AO3:AQ3)</f>
        <v>19</v>
      </c>
      <c r="AO3" s="243">
        <f>COUNTIFS(F3:F41,AM3,I3:I41,AO2)</f>
        <v>12</v>
      </c>
      <c r="AP3" s="58">
        <f>COUNTIFS(F3:F41,AM3,I3:I41,AP2)</f>
        <v>4</v>
      </c>
      <c r="AQ3" s="342">
        <f>COUNTIFS(F3:F41,AM3,I3:I41,AQ2)</f>
        <v>3</v>
      </c>
      <c r="AR3" s="352">
        <f>AO3*3+AP3</f>
        <v>40</v>
      </c>
      <c r="AS3" s="10">
        <f>AO3/AN3</f>
        <v>0.63157894736842102</v>
      </c>
      <c r="AT3" s="2">
        <f>SUMIF(F3:F41,AM3,G3:G41)</f>
        <v>32</v>
      </c>
      <c r="AU3" s="2">
        <f>SUMIF(F3:F41,AM3,H3:H41)</f>
        <v>12</v>
      </c>
      <c r="AV3" s="2">
        <f>AT3-AU3</f>
        <v>20</v>
      </c>
      <c r="AW3" s="22">
        <f>AR3/AN3</f>
        <v>2.1052631578947367</v>
      </c>
      <c r="AX3" s="22">
        <f>AT3/AN3</f>
        <v>1.6842105263157894</v>
      </c>
      <c r="AY3" s="22">
        <f>AU3/AN3</f>
        <v>0.63157894736842102</v>
      </c>
      <c r="BA3" s="2" t="s">
        <v>141</v>
      </c>
      <c r="BB3" s="2">
        <f t="shared" ref="BB3:BB22" si="8">SUM(BC3:BE3)</f>
        <v>3</v>
      </c>
      <c r="BC3" s="243">
        <f t="shared" ref="BC3:BC22" si="9">COUNTIFS(V$3:V$41,BA3,I$3:I$41,BC$2)</f>
        <v>3</v>
      </c>
      <c r="BD3" s="58">
        <f t="shared" ref="BD3:BD22" si="10">COUNTIFS(V$3:V$41,$BA3,I$3:I$41,BD$2)</f>
        <v>0</v>
      </c>
      <c r="BE3" s="342">
        <f t="shared" ref="BE3:BE22" si="11">COUNTIFS($V$3:$V$41,$BA3,$I$3:$I$41,BE$2)</f>
        <v>0</v>
      </c>
      <c r="BF3" s="89">
        <f t="shared" ref="BF3:BF22" si="12">BC3*3+BD3</f>
        <v>9</v>
      </c>
      <c r="BG3" s="11">
        <f t="shared" ref="BG3:BG23" si="13">BC3/BB3</f>
        <v>1</v>
      </c>
      <c r="BH3" s="22">
        <f t="shared" ref="BH3:BH23" si="14">BF3/BB3</f>
        <v>3</v>
      </c>
    </row>
    <row r="4" spans="1:60">
      <c r="A4" s="246" t="s">
        <v>42</v>
      </c>
      <c r="B4" s="317">
        <v>45717</v>
      </c>
      <c r="C4" s="318" t="s">
        <v>43</v>
      </c>
      <c r="D4" s="266">
        <v>2</v>
      </c>
      <c r="E4" s="267" t="s">
        <v>142</v>
      </c>
      <c r="F4" s="268" t="s">
        <v>45</v>
      </c>
      <c r="G4" s="266">
        <v>2</v>
      </c>
      <c r="H4" s="266">
        <v>0</v>
      </c>
      <c r="I4" s="380" t="s">
        <v>31</v>
      </c>
      <c r="J4" s="374"/>
      <c r="K4" s="266"/>
      <c r="L4" s="269"/>
      <c r="M4" s="246" t="s">
        <v>46</v>
      </c>
      <c r="N4" s="270" t="s">
        <v>87</v>
      </c>
      <c r="O4" s="270"/>
      <c r="P4" s="271"/>
      <c r="Q4" s="272" t="s">
        <v>143</v>
      </c>
      <c r="R4" s="270" t="s">
        <v>46</v>
      </c>
      <c r="S4" s="270"/>
      <c r="T4" s="270"/>
      <c r="U4" s="273">
        <v>18173</v>
      </c>
      <c r="V4" s="274" t="s">
        <v>144</v>
      </c>
      <c r="X4" s="60" t="s">
        <v>70</v>
      </c>
      <c r="Y4" s="297">
        <f t="shared" si="0"/>
        <v>36</v>
      </c>
      <c r="Z4" s="2">
        <f>COUNTIF('출전기록 (25)'!C$2:M$39,'2025 토탈'!X4)</f>
        <v>34</v>
      </c>
      <c r="AA4" s="2">
        <f>COUNTIF('출전기록 (25)'!N$2:S$39,'2025 토탈'!X4)</f>
        <v>2</v>
      </c>
      <c r="AB4" s="336">
        <f t="shared" si="1"/>
        <v>12</v>
      </c>
      <c r="AC4" s="337">
        <f t="shared" si="2"/>
        <v>10</v>
      </c>
      <c r="AD4" s="338">
        <f t="shared" si="3"/>
        <v>22</v>
      </c>
      <c r="AE4" s="297">
        <f t="shared" si="4"/>
        <v>36</v>
      </c>
      <c r="AF4" s="2">
        <f>COUNTIF('출전기록 (25)'!W$2:AG$7,'2025 토탈'!X4)+Z4</f>
        <v>34</v>
      </c>
      <c r="AG4" s="132">
        <f>COUNTIF('출전기록 (25)'!AH$2:AM$7,'2025 토탈'!X4)+AA4</f>
        <v>2</v>
      </c>
      <c r="AH4" s="336">
        <f t="shared" si="5"/>
        <v>12</v>
      </c>
      <c r="AI4" s="337">
        <f t="shared" si="6"/>
        <v>10</v>
      </c>
      <c r="AJ4" s="338">
        <f t="shared" si="7"/>
        <v>22</v>
      </c>
      <c r="AM4" s="2" t="s">
        <v>49</v>
      </c>
      <c r="AN4" s="2">
        <f>SUM(AO4:AQ4)</f>
        <v>20</v>
      </c>
      <c r="AO4" s="243">
        <f>COUNTIFS(F3:F41,AM4,I3:I41,AO2)</f>
        <v>11</v>
      </c>
      <c r="AP4" s="58">
        <f>COUNTIFS(F3:F41,AM4,I3:I41,AP2)</f>
        <v>5</v>
      </c>
      <c r="AQ4" s="342">
        <f>COUNTIFS(F3:F41,AM4,I3:I41,AQ2)</f>
        <v>4</v>
      </c>
      <c r="AR4" s="352">
        <f>AO4*3+AP4</f>
        <v>38</v>
      </c>
      <c r="AS4" s="23">
        <f>AO4/AN4</f>
        <v>0.55000000000000004</v>
      </c>
      <c r="AT4" s="2">
        <f>SUMIF(F3:F41,AM4,G3:G41)</f>
        <v>34</v>
      </c>
      <c r="AU4" s="2">
        <f>SUMIF(F3:F41,AM4,H3:H41)</f>
        <v>18</v>
      </c>
      <c r="AV4" s="2">
        <f>AT4-AU4</f>
        <v>16</v>
      </c>
      <c r="AW4" s="22">
        <f>AR4/AN4</f>
        <v>1.9</v>
      </c>
      <c r="AX4" s="22">
        <f>AT4/AN4</f>
        <v>1.7</v>
      </c>
      <c r="AY4" s="22">
        <f>AU4/AN4</f>
        <v>0.9</v>
      </c>
      <c r="BA4" s="20" t="s">
        <v>144</v>
      </c>
      <c r="BB4" s="2">
        <f t="shared" si="8"/>
        <v>2</v>
      </c>
      <c r="BC4" s="243">
        <f t="shared" si="9"/>
        <v>2</v>
      </c>
      <c r="BD4" s="58">
        <f t="shared" si="10"/>
        <v>0</v>
      </c>
      <c r="BE4" s="342">
        <f t="shared" si="11"/>
        <v>0</v>
      </c>
      <c r="BF4" s="89">
        <f t="shared" si="12"/>
        <v>6</v>
      </c>
      <c r="BG4" s="11">
        <f t="shared" si="13"/>
        <v>1</v>
      </c>
      <c r="BH4" s="22">
        <f t="shared" si="14"/>
        <v>3</v>
      </c>
    </row>
    <row r="5" spans="1:60">
      <c r="A5" s="246" t="s">
        <v>42</v>
      </c>
      <c r="B5" s="317">
        <v>45725</v>
      </c>
      <c r="C5" s="318" t="s">
        <v>56</v>
      </c>
      <c r="D5" s="266">
        <v>3</v>
      </c>
      <c r="E5" s="267" t="s">
        <v>145</v>
      </c>
      <c r="F5" s="266" t="s">
        <v>49</v>
      </c>
      <c r="G5" s="266">
        <v>1</v>
      </c>
      <c r="H5" s="266">
        <v>2</v>
      </c>
      <c r="I5" s="380" t="s">
        <v>33</v>
      </c>
      <c r="J5" s="374"/>
      <c r="K5" s="266"/>
      <c r="L5" s="269"/>
      <c r="M5" s="246" t="s">
        <v>70</v>
      </c>
      <c r="N5" s="270"/>
      <c r="O5" s="270"/>
      <c r="P5" s="271"/>
      <c r="Q5" s="272" t="s">
        <v>63</v>
      </c>
      <c r="R5" s="270"/>
      <c r="S5" s="270"/>
      <c r="T5" s="270"/>
      <c r="U5" s="273"/>
      <c r="V5" s="274" t="s">
        <v>146</v>
      </c>
      <c r="X5" s="60" t="s">
        <v>140</v>
      </c>
      <c r="Y5" s="297">
        <f t="shared" si="0"/>
        <v>34</v>
      </c>
      <c r="Z5" s="2">
        <f>COUNTIF('출전기록 (25)'!C$2:M$39,'2025 토탈'!X5)</f>
        <v>23</v>
      </c>
      <c r="AA5" s="2">
        <f>COUNTIF('출전기록 (25)'!N$2:S$39,'2025 토탈'!X5)</f>
        <v>11</v>
      </c>
      <c r="AB5" s="336">
        <f t="shared" si="1"/>
        <v>3</v>
      </c>
      <c r="AC5" s="337">
        <f t="shared" si="2"/>
        <v>3</v>
      </c>
      <c r="AD5" s="338">
        <f t="shared" si="3"/>
        <v>6</v>
      </c>
      <c r="AE5" s="297">
        <f t="shared" si="4"/>
        <v>34</v>
      </c>
      <c r="AF5" s="2">
        <f>COUNTIF('출전기록 (25)'!W$2:AG$7,'2025 토탈'!X5)+Z5</f>
        <v>23</v>
      </c>
      <c r="AG5" s="132">
        <f>COUNTIF('출전기록 (25)'!AH$2:AM$7,'2025 토탈'!X5)+AA5</f>
        <v>11</v>
      </c>
      <c r="AH5" s="336">
        <f t="shared" si="5"/>
        <v>3</v>
      </c>
      <c r="AI5" s="337">
        <f t="shared" si="6"/>
        <v>3</v>
      </c>
      <c r="AJ5" s="338">
        <f t="shared" si="7"/>
        <v>6</v>
      </c>
      <c r="AM5" s="337" t="s">
        <v>60</v>
      </c>
      <c r="AN5" s="337">
        <f>SUM(AN3:AN4)</f>
        <v>39</v>
      </c>
      <c r="AO5" s="337">
        <f>SUM(AO3:AO4)</f>
        <v>23</v>
      </c>
      <c r="AP5" s="337">
        <f>SUM(AP3:AP4)</f>
        <v>9</v>
      </c>
      <c r="AQ5" s="337">
        <f>SUM(AQ3:AQ4)</f>
        <v>7</v>
      </c>
      <c r="AR5" s="337">
        <f>SUM(AR3:AR4)</f>
        <v>78</v>
      </c>
      <c r="AS5" s="349">
        <f>AO5/AN5</f>
        <v>0.58974358974358976</v>
      </c>
      <c r="AT5" s="337">
        <f>SUM(AT3:AT4)</f>
        <v>66</v>
      </c>
      <c r="AU5" s="337">
        <f>SUM(AU3:AU4)</f>
        <v>30</v>
      </c>
      <c r="AV5" s="337">
        <f>SUM(AV3:AV4)</f>
        <v>36</v>
      </c>
      <c r="AW5" s="350">
        <f>AR5/AN5</f>
        <v>2</v>
      </c>
      <c r="AX5" s="350">
        <f>AT5/AN5</f>
        <v>1.6923076923076923</v>
      </c>
      <c r="AY5" s="350">
        <f>AU5/AN5</f>
        <v>0.76923076923076927</v>
      </c>
      <c r="BA5" s="20" t="s">
        <v>146</v>
      </c>
      <c r="BB5" s="2">
        <f t="shared" si="8"/>
        <v>2</v>
      </c>
      <c r="BC5" s="243">
        <f t="shared" si="9"/>
        <v>1</v>
      </c>
      <c r="BD5" s="58">
        <f t="shared" si="10"/>
        <v>0</v>
      </c>
      <c r="BE5" s="342">
        <f t="shared" si="11"/>
        <v>1</v>
      </c>
      <c r="BF5" s="2">
        <f t="shared" si="12"/>
        <v>3</v>
      </c>
      <c r="BG5" s="11">
        <f t="shared" si="13"/>
        <v>0.5</v>
      </c>
      <c r="BH5" s="22">
        <f t="shared" si="14"/>
        <v>1.5</v>
      </c>
    </row>
    <row r="6" spans="1:60">
      <c r="A6" s="246" t="s">
        <v>42</v>
      </c>
      <c r="B6" s="317">
        <v>45731</v>
      </c>
      <c r="C6" s="318" t="s">
        <v>43</v>
      </c>
      <c r="D6" s="266">
        <v>4</v>
      </c>
      <c r="E6" s="267" t="s">
        <v>147</v>
      </c>
      <c r="F6" s="268" t="s">
        <v>45</v>
      </c>
      <c r="G6" s="266">
        <v>1</v>
      </c>
      <c r="H6" s="266">
        <v>0</v>
      </c>
      <c r="I6" s="380" t="s">
        <v>31</v>
      </c>
      <c r="J6" s="374"/>
      <c r="K6" s="266"/>
      <c r="L6" s="269"/>
      <c r="M6" s="246" t="s">
        <v>46</v>
      </c>
      <c r="N6" s="270"/>
      <c r="O6" s="270"/>
      <c r="P6" s="271"/>
      <c r="Q6" s="272"/>
      <c r="R6" s="270"/>
      <c r="S6" s="270"/>
      <c r="T6" s="270"/>
      <c r="U6" s="273">
        <v>9695</v>
      </c>
      <c r="V6" s="274" t="s">
        <v>148</v>
      </c>
      <c r="X6" s="60" t="s">
        <v>54</v>
      </c>
      <c r="Y6" s="297">
        <f t="shared" si="0"/>
        <v>36</v>
      </c>
      <c r="Z6" s="2">
        <f>COUNTIF('출전기록 (25)'!C$2:M$39,'2025 토탈'!X6)</f>
        <v>34</v>
      </c>
      <c r="AA6" s="2">
        <f>COUNTIF('출전기록 (25)'!N$2:S$39,'2025 토탈'!X6)</f>
        <v>2</v>
      </c>
      <c r="AB6" s="336">
        <f t="shared" si="1"/>
        <v>9</v>
      </c>
      <c r="AC6" s="337">
        <f t="shared" si="2"/>
        <v>1</v>
      </c>
      <c r="AD6" s="338">
        <f t="shared" si="3"/>
        <v>10</v>
      </c>
      <c r="AE6" s="297">
        <f t="shared" si="4"/>
        <v>36</v>
      </c>
      <c r="AF6" s="2">
        <f>COUNTIF('출전기록 (25)'!W$2:AG$7,'2025 토탈'!X6)+Z6</f>
        <v>34</v>
      </c>
      <c r="AG6" s="132">
        <f>COUNTIF('출전기록 (25)'!AH$2:AM$7,'2025 토탈'!X6)+AA6</f>
        <v>2</v>
      </c>
      <c r="AH6" s="336">
        <f t="shared" si="5"/>
        <v>9</v>
      </c>
      <c r="AI6" s="337">
        <f t="shared" si="6"/>
        <v>1</v>
      </c>
      <c r="AJ6" s="338">
        <f t="shared" si="7"/>
        <v>10</v>
      </c>
      <c r="AM6" s="337" t="s">
        <v>66</v>
      </c>
      <c r="AN6" s="337" t="s">
        <v>30</v>
      </c>
      <c r="AO6" s="337" t="s">
        <v>31</v>
      </c>
      <c r="AP6" s="337" t="s">
        <v>32</v>
      </c>
      <c r="AQ6" s="337" t="s">
        <v>33</v>
      </c>
      <c r="AR6" s="337" t="s">
        <v>34</v>
      </c>
      <c r="AS6" s="337" t="s">
        <v>35</v>
      </c>
      <c r="AT6" s="337" t="s">
        <v>8</v>
      </c>
      <c r="AU6" s="337" t="s">
        <v>9</v>
      </c>
      <c r="AV6" s="337" t="s">
        <v>36</v>
      </c>
      <c r="BA6" s="20" t="s">
        <v>148</v>
      </c>
      <c r="BB6" s="2">
        <f t="shared" si="8"/>
        <v>1</v>
      </c>
      <c r="BC6" s="243">
        <f t="shared" si="9"/>
        <v>1</v>
      </c>
      <c r="BD6" s="58">
        <f t="shared" si="10"/>
        <v>0</v>
      </c>
      <c r="BE6" s="342">
        <f t="shared" si="11"/>
        <v>0</v>
      </c>
      <c r="BF6" s="2">
        <f t="shared" si="12"/>
        <v>3</v>
      </c>
      <c r="BG6" s="11">
        <f t="shared" si="13"/>
        <v>1</v>
      </c>
      <c r="BH6" s="22">
        <f t="shared" si="14"/>
        <v>3</v>
      </c>
    </row>
    <row r="7" spans="1:60">
      <c r="A7" s="246" t="s">
        <v>42</v>
      </c>
      <c r="B7" s="317">
        <v>45745</v>
      </c>
      <c r="C7" s="318" t="s">
        <v>43</v>
      </c>
      <c r="D7" s="266">
        <v>5</v>
      </c>
      <c r="E7" s="267" t="s">
        <v>149</v>
      </c>
      <c r="F7" s="268" t="s">
        <v>45</v>
      </c>
      <c r="G7" s="266">
        <v>1</v>
      </c>
      <c r="H7" s="266">
        <v>1</v>
      </c>
      <c r="I7" s="380" t="s">
        <v>32</v>
      </c>
      <c r="J7" s="374"/>
      <c r="K7" s="266"/>
      <c r="L7" s="269"/>
      <c r="M7" s="246" t="s">
        <v>46</v>
      </c>
      <c r="N7" s="270"/>
      <c r="O7" s="270"/>
      <c r="P7" s="271"/>
      <c r="Q7" s="272"/>
      <c r="R7" s="270"/>
      <c r="S7" s="270"/>
      <c r="T7" s="270"/>
      <c r="U7" s="273">
        <v>8507</v>
      </c>
      <c r="V7" s="274" t="s">
        <v>150</v>
      </c>
      <c r="X7" s="60" t="s">
        <v>143</v>
      </c>
      <c r="Y7" s="297">
        <f t="shared" si="0"/>
        <v>19</v>
      </c>
      <c r="Z7" s="2">
        <f>COUNTIF('출전기록 (25)'!C$2:M$39,'2025 토탈'!X7)</f>
        <v>7</v>
      </c>
      <c r="AA7" s="2">
        <f>COUNTIF('출전기록 (25)'!N$2:S$39,'2025 토탈'!X7)</f>
        <v>12</v>
      </c>
      <c r="AB7" s="336">
        <f t="shared" si="1"/>
        <v>0</v>
      </c>
      <c r="AC7" s="337">
        <f t="shared" si="2"/>
        <v>4</v>
      </c>
      <c r="AD7" s="338">
        <f t="shared" si="3"/>
        <v>4</v>
      </c>
      <c r="AE7" s="297">
        <f t="shared" si="4"/>
        <v>21</v>
      </c>
      <c r="AF7" s="2">
        <f>COUNTIF('출전기록 (25)'!W$2:AG$7,'2025 토탈'!X7)+Z7</f>
        <v>9</v>
      </c>
      <c r="AG7" s="132">
        <f>COUNTIF('출전기록 (25)'!AH$2:AM$7,'2025 토탈'!X7)+AA7</f>
        <v>12</v>
      </c>
      <c r="AH7" s="336">
        <f t="shared" si="5"/>
        <v>0</v>
      </c>
      <c r="AI7" s="337">
        <f t="shared" si="6"/>
        <v>5</v>
      </c>
      <c r="AJ7" s="338">
        <f t="shared" si="7"/>
        <v>5</v>
      </c>
      <c r="AL7" s="2" t="s">
        <v>42</v>
      </c>
      <c r="AM7" s="2" t="s">
        <v>139</v>
      </c>
      <c r="AN7" s="89">
        <f t="shared" ref="AN7:AN19" si="15">SUM(AO7:AQ7)</f>
        <v>3</v>
      </c>
      <c r="AO7" s="243">
        <f t="shared" ref="AO7:AO19" si="16">COUNTIFS(A:A,AL7,E:E,AM7,I:I,"승")</f>
        <v>3</v>
      </c>
      <c r="AP7" s="243">
        <f t="shared" ref="AP7:AP19" si="17">COUNTIFS(A:A,AL7,E:E,AM7,I:I,"무")</f>
        <v>0</v>
      </c>
      <c r="AQ7" s="351">
        <f t="shared" ref="AQ7:AQ19" si="18">COUNTIFS(A:A,AL7,E:E,AM7,I:I,"패")</f>
        <v>0</v>
      </c>
      <c r="AR7" s="352">
        <f t="shared" ref="AR7:AR19" si="19">AO7*3+AP7</f>
        <v>9</v>
      </c>
      <c r="AS7" s="23">
        <f t="shared" ref="AS7:AS19" si="20">AO7/AN7</f>
        <v>1</v>
      </c>
      <c r="AT7" s="2">
        <f t="shared" ref="AT7:AT19" si="21">SUMIF(E:E,AM7,G:G)</f>
        <v>7</v>
      </c>
      <c r="AU7" s="2">
        <f t="shared" ref="AU7:AU19" si="22">SUMIF(E:E,AM7,H:H)</f>
        <v>0</v>
      </c>
      <c r="AV7" s="2">
        <f t="shared" ref="AV7:AV19" si="23">AT7-AU7</f>
        <v>7</v>
      </c>
      <c r="BA7" s="20" t="s">
        <v>150</v>
      </c>
      <c r="BB7" s="2">
        <f t="shared" si="8"/>
        <v>6</v>
      </c>
      <c r="BC7" s="243">
        <f t="shared" si="9"/>
        <v>2</v>
      </c>
      <c r="BD7" s="58">
        <f t="shared" si="10"/>
        <v>3</v>
      </c>
      <c r="BE7" s="342">
        <f t="shared" si="11"/>
        <v>1</v>
      </c>
      <c r="BF7" s="2">
        <f t="shared" si="12"/>
        <v>9</v>
      </c>
      <c r="BG7" s="11">
        <f t="shared" si="13"/>
        <v>0.33333333333333331</v>
      </c>
      <c r="BH7" s="22">
        <f t="shared" si="14"/>
        <v>1.5</v>
      </c>
    </row>
    <row r="8" spans="1:60">
      <c r="A8" s="246" t="s">
        <v>42</v>
      </c>
      <c r="B8" s="317">
        <v>45752</v>
      </c>
      <c r="C8" s="318" t="s">
        <v>43</v>
      </c>
      <c r="D8" s="266">
        <v>6</v>
      </c>
      <c r="E8" s="267" t="s">
        <v>151</v>
      </c>
      <c r="F8" s="266" t="s">
        <v>49</v>
      </c>
      <c r="G8" s="266">
        <v>1</v>
      </c>
      <c r="H8" s="266">
        <v>0</v>
      </c>
      <c r="I8" s="380" t="s">
        <v>31</v>
      </c>
      <c r="J8" s="374"/>
      <c r="K8" s="266"/>
      <c r="L8" s="269"/>
      <c r="M8" s="246" t="s">
        <v>59</v>
      </c>
      <c r="N8" s="270"/>
      <c r="O8" s="270"/>
      <c r="P8" s="271"/>
      <c r="Q8" s="272"/>
      <c r="R8" s="270"/>
      <c r="S8" s="270"/>
      <c r="T8" s="270"/>
      <c r="U8" s="273"/>
      <c r="V8" s="274" t="s">
        <v>152</v>
      </c>
      <c r="X8" s="60" t="s">
        <v>87</v>
      </c>
      <c r="Y8" s="297">
        <f t="shared" si="0"/>
        <v>29</v>
      </c>
      <c r="Z8" s="2">
        <f>COUNTIF('출전기록 (25)'!C$2:M$39,'2025 토탈'!X8)</f>
        <v>7</v>
      </c>
      <c r="AA8" s="2">
        <f>COUNTIF('출전기록 (25)'!N$2:S$39,'2025 토탈'!X8)</f>
        <v>22</v>
      </c>
      <c r="AB8" s="336">
        <f t="shared" si="1"/>
        <v>2</v>
      </c>
      <c r="AC8" s="337">
        <f t="shared" si="2"/>
        <v>0</v>
      </c>
      <c r="AD8" s="338">
        <f t="shared" si="3"/>
        <v>2</v>
      </c>
      <c r="AE8" s="297">
        <f t="shared" si="4"/>
        <v>31</v>
      </c>
      <c r="AF8" s="2">
        <f>COUNTIF('출전기록 (25)'!W$2:AG$7,'2025 토탈'!X8)+Z8</f>
        <v>8</v>
      </c>
      <c r="AG8" s="132">
        <f>COUNTIF('출전기록 (25)'!AH$2:AM$7,'2025 토탈'!X8)+AA8</f>
        <v>23</v>
      </c>
      <c r="AH8" s="336">
        <f t="shared" si="5"/>
        <v>3</v>
      </c>
      <c r="AI8" s="337">
        <f t="shared" si="6"/>
        <v>0</v>
      </c>
      <c r="AJ8" s="338">
        <f t="shared" si="7"/>
        <v>3</v>
      </c>
      <c r="AL8" s="2" t="s">
        <v>42</v>
      </c>
      <c r="AM8" s="2" t="s">
        <v>142</v>
      </c>
      <c r="AN8" s="89">
        <f t="shared" si="15"/>
        <v>3</v>
      </c>
      <c r="AO8" s="243">
        <f t="shared" si="16"/>
        <v>2</v>
      </c>
      <c r="AP8" s="243">
        <f t="shared" si="17"/>
        <v>1</v>
      </c>
      <c r="AQ8" s="351">
        <f t="shared" si="18"/>
        <v>0</v>
      </c>
      <c r="AR8" s="352">
        <f t="shared" si="19"/>
        <v>7</v>
      </c>
      <c r="AS8" s="23">
        <f t="shared" si="20"/>
        <v>0.66666666666666663</v>
      </c>
      <c r="AT8" s="2">
        <f t="shared" si="21"/>
        <v>5</v>
      </c>
      <c r="AU8" s="2">
        <f t="shared" si="22"/>
        <v>2</v>
      </c>
      <c r="AV8" s="2">
        <f t="shared" si="23"/>
        <v>3</v>
      </c>
      <c r="BA8" s="20" t="s">
        <v>152</v>
      </c>
      <c r="BB8" s="2">
        <f t="shared" si="8"/>
        <v>3</v>
      </c>
      <c r="BC8" s="243">
        <f t="shared" si="9"/>
        <v>2</v>
      </c>
      <c r="BD8" s="58">
        <f t="shared" si="10"/>
        <v>0</v>
      </c>
      <c r="BE8" s="342">
        <f t="shared" si="11"/>
        <v>1</v>
      </c>
      <c r="BF8" s="2">
        <f t="shared" si="12"/>
        <v>6</v>
      </c>
      <c r="BG8" s="11">
        <f t="shared" si="13"/>
        <v>0.66666666666666663</v>
      </c>
      <c r="BH8" s="22">
        <f t="shared" si="14"/>
        <v>2</v>
      </c>
    </row>
    <row r="9" spans="1:60">
      <c r="A9" s="246" t="s">
        <v>42</v>
      </c>
      <c r="B9" s="317">
        <v>45760</v>
      </c>
      <c r="C9" s="318" t="s">
        <v>56</v>
      </c>
      <c r="D9" s="266">
        <v>7</v>
      </c>
      <c r="E9" s="267" t="s">
        <v>153</v>
      </c>
      <c r="F9" s="268" t="s">
        <v>45</v>
      </c>
      <c r="G9" s="266">
        <v>2</v>
      </c>
      <c r="H9" s="266">
        <v>1</v>
      </c>
      <c r="I9" s="380" t="s">
        <v>31</v>
      </c>
      <c r="J9" s="374"/>
      <c r="K9" s="266"/>
      <c r="L9" s="269"/>
      <c r="M9" s="246" t="s">
        <v>59</v>
      </c>
      <c r="N9" s="270" t="s">
        <v>46</v>
      </c>
      <c r="O9" s="270"/>
      <c r="P9" s="271"/>
      <c r="Q9" s="272" t="s">
        <v>52</v>
      </c>
      <c r="R9" s="270"/>
      <c r="S9" s="270"/>
      <c r="T9" s="270"/>
      <c r="U9" s="273">
        <v>5542</v>
      </c>
      <c r="V9" s="274" t="s">
        <v>154</v>
      </c>
      <c r="X9" s="60" t="s">
        <v>59</v>
      </c>
      <c r="Y9" s="297">
        <f t="shared" si="0"/>
        <v>8</v>
      </c>
      <c r="Z9" s="2">
        <f>COUNTIF('출전기록 (25)'!C$2:M$39,'2025 토탈'!X9)</f>
        <v>2</v>
      </c>
      <c r="AA9" s="2">
        <f>COUNTIF('출전기록 (25)'!N$2:S$39,'2025 토탈'!X9)</f>
        <v>6</v>
      </c>
      <c r="AB9" s="336">
        <f t="shared" si="1"/>
        <v>3</v>
      </c>
      <c r="AC9" s="337">
        <f t="shared" si="2"/>
        <v>0</v>
      </c>
      <c r="AD9" s="338">
        <f t="shared" si="3"/>
        <v>3</v>
      </c>
      <c r="AE9" s="297">
        <f t="shared" si="4"/>
        <v>8</v>
      </c>
      <c r="AF9" s="2">
        <f>COUNTIF('출전기록 (25)'!W$2:AG$7,'2025 토탈'!X9)+Z9</f>
        <v>2</v>
      </c>
      <c r="AG9" s="132">
        <f>COUNTIF('출전기록 (25)'!AH$2:AM$7,'2025 토탈'!X9)+AA9</f>
        <v>6</v>
      </c>
      <c r="AH9" s="336">
        <f t="shared" si="5"/>
        <v>3</v>
      </c>
      <c r="AI9" s="337">
        <f t="shared" si="6"/>
        <v>0</v>
      </c>
      <c r="AJ9" s="338">
        <f t="shared" si="7"/>
        <v>3</v>
      </c>
      <c r="AL9" s="2" t="s">
        <v>42</v>
      </c>
      <c r="AM9" s="2" t="s">
        <v>145</v>
      </c>
      <c r="AN9" s="89">
        <f t="shared" si="15"/>
        <v>3</v>
      </c>
      <c r="AO9" s="243">
        <f t="shared" si="16"/>
        <v>0</v>
      </c>
      <c r="AP9" s="243">
        <f t="shared" si="17"/>
        <v>1</v>
      </c>
      <c r="AQ9" s="351">
        <f t="shared" si="18"/>
        <v>2</v>
      </c>
      <c r="AR9" s="352">
        <f t="shared" si="19"/>
        <v>1</v>
      </c>
      <c r="AS9" s="23">
        <f t="shared" si="20"/>
        <v>0</v>
      </c>
      <c r="AT9" s="2">
        <f t="shared" si="21"/>
        <v>4</v>
      </c>
      <c r="AU9" s="2">
        <f t="shared" si="22"/>
        <v>6</v>
      </c>
      <c r="AV9" s="2">
        <f t="shared" si="23"/>
        <v>-2</v>
      </c>
      <c r="BA9" s="20" t="s">
        <v>154</v>
      </c>
      <c r="BB9" s="2">
        <f t="shared" si="8"/>
        <v>2</v>
      </c>
      <c r="BC9" s="243">
        <f t="shared" si="9"/>
        <v>2</v>
      </c>
      <c r="BD9" s="58">
        <f t="shared" si="10"/>
        <v>0</v>
      </c>
      <c r="BE9" s="342">
        <f t="shared" si="11"/>
        <v>0</v>
      </c>
      <c r="BF9" s="2">
        <f t="shared" si="12"/>
        <v>6</v>
      </c>
      <c r="BG9" s="11">
        <f t="shared" si="13"/>
        <v>1</v>
      </c>
      <c r="BH9" s="22">
        <f t="shared" si="14"/>
        <v>3</v>
      </c>
    </row>
    <row r="10" spans="1:60">
      <c r="A10" s="246" t="s">
        <v>42</v>
      </c>
      <c r="B10" s="317">
        <v>45766</v>
      </c>
      <c r="C10" s="318" t="s">
        <v>43</v>
      </c>
      <c r="D10" s="266">
        <v>8</v>
      </c>
      <c r="E10" s="267" t="s">
        <v>155</v>
      </c>
      <c r="F10" s="268" t="s">
        <v>45</v>
      </c>
      <c r="G10" s="266">
        <v>3</v>
      </c>
      <c r="H10" s="266">
        <v>0</v>
      </c>
      <c r="I10" s="380" t="s">
        <v>31</v>
      </c>
      <c r="J10" s="374"/>
      <c r="K10" s="266"/>
      <c r="L10" s="269"/>
      <c r="M10" s="246" t="s">
        <v>46</v>
      </c>
      <c r="N10" s="270" t="s">
        <v>46</v>
      </c>
      <c r="O10" s="270" t="s">
        <v>59</v>
      </c>
      <c r="P10" s="271"/>
      <c r="Q10" s="272" t="s">
        <v>52</v>
      </c>
      <c r="R10" s="270" t="s">
        <v>70</v>
      </c>
      <c r="S10" s="270"/>
      <c r="T10" s="270"/>
      <c r="U10" s="273">
        <v>4637</v>
      </c>
      <c r="V10" s="274" t="s">
        <v>141</v>
      </c>
      <c r="X10" s="60" t="s">
        <v>156</v>
      </c>
      <c r="Y10" s="297">
        <f t="shared" si="0"/>
        <v>22</v>
      </c>
      <c r="Z10" s="2">
        <f>COUNTIF('출전기록 (25)'!C$2:M$39,'2025 토탈'!X10)</f>
        <v>4</v>
      </c>
      <c r="AA10" s="2">
        <f>COUNTIF('출전기록 (25)'!N$2:S$39,'2025 토탈'!X10)</f>
        <v>18</v>
      </c>
      <c r="AB10" s="336">
        <f t="shared" si="1"/>
        <v>1</v>
      </c>
      <c r="AC10" s="337">
        <f t="shared" si="2"/>
        <v>0</v>
      </c>
      <c r="AD10" s="338">
        <f t="shared" si="3"/>
        <v>1</v>
      </c>
      <c r="AE10" s="297">
        <f t="shared" si="4"/>
        <v>24</v>
      </c>
      <c r="AF10" s="2">
        <f>COUNTIF('출전기록 (25)'!W$2:AG$7,'2025 토탈'!X10)+Z10</f>
        <v>6</v>
      </c>
      <c r="AG10" s="132">
        <f>COUNTIF('출전기록 (25)'!AH$2:AM$7,'2025 토탈'!X10)+AA10</f>
        <v>18</v>
      </c>
      <c r="AH10" s="336">
        <f t="shared" si="5"/>
        <v>1</v>
      </c>
      <c r="AI10" s="337">
        <f t="shared" si="6"/>
        <v>2</v>
      </c>
      <c r="AJ10" s="338">
        <f t="shared" si="7"/>
        <v>3</v>
      </c>
      <c r="AL10" s="2" t="s">
        <v>42</v>
      </c>
      <c r="AM10" s="2" t="s">
        <v>147</v>
      </c>
      <c r="AN10" s="89">
        <f t="shared" si="15"/>
        <v>3</v>
      </c>
      <c r="AO10" s="243">
        <f t="shared" si="16"/>
        <v>1</v>
      </c>
      <c r="AP10" s="243">
        <f t="shared" si="17"/>
        <v>2</v>
      </c>
      <c r="AQ10" s="351">
        <f t="shared" si="18"/>
        <v>0</v>
      </c>
      <c r="AR10" s="352">
        <f t="shared" si="19"/>
        <v>5</v>
      </c>
      <c r="AS10" s="23">
        <f t="shared" si="20"/>
        <v>0.33333333333333331</v>
      </c>
      <c r="AT10" s="2">
        <f t="shared" si="21"/>
        <v>1</v>
      </c>
      <c r="AU10" s="2">
        <f t="shared" si="22"/>
        <v>0</v>
      </c>
      <c r="AV10" s="2">
        <f t="shared" si="23"/>
        <v>1</v>
      </c>
      <c r="BA10" s="20" t="s">
        <v>157</v>
      </c>
      <c r="BB10" s="2">
        <f t="shared" si="8"/>
        <v>3</v>
      </c>
      <c r="BC10" s="243">
        <f t="shared" si="9"/>
        <v>3</v>
      </c>
      <c r="BD10" s="58">
        <f t="shared" si="10"/>
        <v>0</v>
      </c>
      <c r="BE10" s="342">
        <f t="shared" si="11"/>
        <v>0</v>
      </c>
      <c r="BF10" s="2">
        <f t="shared" si="12"/>
        <v>9</v>
      </c>
      <c r="BG10" s="11">
        <f t="shared" si="13"/>
        <v>1</v>
      </c>
      <c r="BH10" s="22">
        <f t="shared" si="14"/>
        <v>3</v>
      </c>
    </row>
    <row r="11" spans="1:60">
      <c r="A11" s="246" t="s">
        <v>42</v>
      </c>
      <c r="B11" s="317">
        <v>45773</v>
      </c>
      <c r="C11" s="318" t="s">
        <v>43</v>
      </c>
      <c r="D11" s="266">
        <v>9</v>
      </c>
      <c r="E11" s="267" t="s">
        <v>78</v>
      </c>
      <c r="F11" s="266" t="s">
        <v>49</v>
      </c>
      <c r="G11" s="266">
        <v>3</v>
      </c>
      <c r="H11" s="266">
        <v>1</v>
      </c>
      <c r="I11" s="380" t="s">
        <v>31</v>
      </c>
      <c r="J11" s="374"/>
      <c r="K11" s="266"/>
      <c r="L11" s="269"/>
      <c r="M11" s="246" t="s">
        <v>54</v>
      </c>
      <c r="N11" s="270" t="s">
        <v>73</v>
      </c>
      <c r="O11" s="270" t="s">
        <v>46</v>
      </c>
      <c r="P11" s="271"/>
      <c r="Q11" s="272" t="s">
        <v>46</v>
      </c>
      <c r="R11" s="270" t="s">
        <v>70</v>
      </c>
      <c r="S11" s="270" t="s">
        <v>70</v>
      </c>
      <c r="T11" s="270"/>
      <c r="U11" s="273"/>
      <c r="V11" s="274" t="s">
        <v>144</v>
      </c>
      <c r="X11" s="60" t="s">
        <v>92</v>
      </c>
      <c r="Y11" s="297">
        <f t="shared" si="0"/>
        <v>3</v>
      </c>
      <c r="Z11" s="2">
        <f>COUNTIF('출전기록 (25)'!C$2:M$39,'2025 토탈'!X11)</f>
        <v>3</v>
      </c>
      <c r="AA11" s="2">
        <f>COUNTIF('출전기록 (25)'!N$2:S$39,'2025 토탈'!X11)</f>
        <v>0</v>
      </c>
      <c r="AB11" s="336">
        <f t="shared" si="1"/>
        <v>0</v>
      </c>
      <c r="AC11" s="337">
        <f t="shared" si="2"/>
        <v>0</v>
      </c>
      <c r="AD11" s="338">
        <f t="shared" si="3"/>
        <v>0</v>
      </c>
      <c r="AE11" s="297">
        <f t="shared" si="4"/>
        <v>6</v>
      </c>
      <c r="AF11" s="2">
        <f>COUNTIF('출전기록 (25)'!W$2:AG$7,'2025 토탈'!X11)+Z11</f>
        <v>5</v>
      </c>
      <c r="AG11" s="132">
        <f>COUNTIF('출전기록 (25)'!AH$2:AM$7,'2025 토탈'!X11)+AA11</f>
        <v>1</v>
      </c>
      <c r="AH11" s="336">
        <f t="shared" si="5"/>
        <v>0</v>
      </c>
      <c r="AI11" s="337">
        <f t="shared" si="6"/>
        <v>0</v>
      </c>
      <c r="AJ11" s="338">
        <f t="shared" si="7"/>
        <v>0</v>
      </c>
      <c r="AL11" s="2" t="s">
        <v>42</v>
      </c>
      <c r="AM11" s="2" t="s">
        <v>149</v>
      </c>
      <c r="AN11" s="89">
        <f t="shared" si="15"/>
        <v>3</v>
      </c>
      <c r="AO11" s="243">
        <f t="shared" si="16"/>
        <v>1</v>
      </c>
      <c r="AP11" s="243">
        <f t="shared" si="17"/>
        <v>2</v>
      </c>
      <c r="AQ11" s="351">
        <f t="shared" si="18"/>
        <v>0</v>
      </c>
      <c r="AR11" s="352">
        <f t="shared" si="19"/>
        <v>5</v>
      </c>
      <c r="AS11" s="23">
        <f t="shared" si="20"/>
        <v>0.33333333333333331</v>
      </c>
      <c r="AT11" s="2">
        <f t="shared" si="21"/>
        <v>3</v>
      </c>
      <c r="AU11" s="2">
        <f t="shared" si="22"/>
        <v>1</v>
      </c>
      <c r="AV11" s="2">
        <f t="shared" si="23"/>
        <v>2</v>
      </c>
      <c r="BA11" s="20" t="s">
        <v>158</v>
      </c>
      <c r="BB11" s="2">
        <f t="shared" si="8"/>
        <v>1</v>
      </c>
      <c r="BC11" s="243">
        <f t="shared" si="9"/>
        <v>1</v>
      </c>
      <c r="BD11" s="58">
        <f t="shared" si="10"/>
        <v>0</v>
      </c>
      <c r="BE11" s="342">
        <f t="shared" si="11"/>
        <v>0</v>
      </c>
      <c r="BF11" s="2">
        <f t="shared" si="12"/>
        <v>3</v>
      </c>
      <c r="BG11" s="11">
        <f t="shared" si="13"/>
        <v>1</v>
      </c>
      <c r="BH11" s="22">
        <f t="shared" si="14"/>
        <v>3</v>
      </c>
    </row>
    <row r="12" spans="1:60">
      <c r="A12" s="246" t="s">
        <v>42</v>
      </c>
      <c r="B12" s="317">
        <v>45781</v>
      </c>
      <c r="C12" s="318" t="s">
        <v>56</v>
      </c>
      <c r="D12" s="266">
        <v>10</v>
      </c>
      <c r="E12" s="267" t="s">
        <v>118</v>
      </c>
      <c r="F12" s="268" t="s">
        <v>45</v>
      </c>
      <c r="G12" s="266">
        <v>3</v>
      </c>
      <c r="H12" s="266">
        <v>0</v>
      </c>
      <c r="I12" s="380" t="s">
        <v>31</v>
      </c>
      <c r="J12" s="374"/>
      <c r="K12" s="266"/>
      <c r="L12" s="269"/>
      <c r="M12" s="246" t="s">
        <v>96</v>
      </c>
      <c r="N12" s="270" t="s">
        <v>46</v>
      </c>
      <c r="O12" s="270" t="s">
        <v>156</v>
      </c>
      <c r="P12" s="271"/>
      <c r="Q12" s="272"/>
      <c r="R12" s="270"/>
      <c r="S12" s="270" t="s">
        <v>63</v>
      </c>
      <c r="T12" s="270"/>
      <c r="U12" s="273">
        <v>11792</v>
      </c>
      <c r="V12" s="274" t="s">
        <v>157</v>
      </c>
      <c r="X12" s="60" t="s">
        <v>114</v>
      </c>
      <c r="Y12" s="297">
        <f t="shared" si="0"/>
        <v>24</v>
      </c>
      <c r="Z12" s="2">
        <f>COUNTIF('출전기록 (25)'!C$2:M$39,'2025 토탈'!X12)</f>
        <v>8</v>
      </c>
      <c r="AA12" s="2">
        <f>COUNTIF('출전기록 (25)'!N$2:S$39,'2025 토탈'!X12)</f>
        <v>16</v>
      </c>
      <c r="AB12" s="336">
        <f t="shared" si="1"/>
        <v>5</v>
      </c>
      <c r="AC12" s="337">
        <f t="shared" si="2"/>
        <v>0</v>
      </c>
      <c r="AD12" s="338">
        <f t="shared" si="3"/>
        <v>5</v>
      </c>
      <c r="AE12" s="297">
        <f t="shared" si="4"/>
        <v>27</v>
      </c>
      <c r="AF12" s="2">
        <f>COUNTIF('출전기록 (25)'!W$2:AG$7,'2025 토탈'!X12)+Z12</f>
        <v>10</v>
      </c>
      <c r="AG12" s="132">
        <f>COUNTIF('출전기록 (25)'!AH$2:AM$7,'2025 토탈'!X12)+AA12</f>
        <v>17</v>
      </c>
      <c r="AH12" s="336">
        <f t="shared" si="5"/>
        <v>7</v>
      </c>
      <c r="AI12" s="337">
        <f t="shared" si="6"/>
        <v>0</v>
      </c>
      <c r="AJ12" s="338">
        <f t="shared" si="7"/>
        <v>7</v>
      </c>
      <c r="AL12" s="2" t="s">
        <v>42</v>
      </c>
      <c r="AM12" s="2" t="s">
        <v>151</v>
      </c>
      <c r="AN12" s="89">
        <f t="shared" si="15"/>
        <v>3</v>
      </c>
      <c r="AO12" s="243">
        <f t="shared" si="16"/>
        <v>3</v>
      </c>
      <c r="AP12" s="243">
        <f t="shared" si="17"/>
        <v>0</v>
      </c>
      <c r="AQ12" s="351">
        <f t="shared" si="18"/>
        <v>0</v>
      </c>
      <c r="AR12" s="352">
        <f t="shared" si="19"/>
        <v>9</v>
      </c>
      <c r="AS12" s="23">
        <f t="shared" si="20"/>
        <v>1</v>
      </c>
      <c r="AT12" s="2">
        <f t="shared" si="21"/>
        <v>4</v>
      </c>
      <c r="AU12" s="2">
        <f t="shared" si="22"/>
        <v>0</v>
      </c>
      <c r="AV12" s="2">
        <f t="shared" si="23"/>
        <v>4</v>
      </c>
      <c r="BA12" s="20" t="s">
        <v>74</v>
      </c>
      <c r="BB12" s="2">
        <f t="shared" si="8"/>
        <v>3</v>
      </c>
      <c r="BC12" s="243">
        <f t="shared" si="9"/>
        <v>1</v>
      </c>
      <c r="BD12" s="58">
        <f t="shared" si="10"/>
        <v>2</v>
      </c>
      <c r="BE12" s="342">
        <f t="shared" si="11"/>
        <v>0</v>
      </c>
      <c r="BF12" s="2">
        <f t="shared" si="12"/>
        <v>5</v>
      </c>
      <c r="BG12" s="11">
        <f t="shared" si="13"/>
        <v>0.33333333333333331</v>
      </c>
      <c r="BH12" s="22">
        <f t="shared" si="14"/>
        <v>1.6666666666666667</v>
      </c>
    </row>
    <row r="13" spans="1:60">
      <c r="A13" s="246" t="s">
        <v>42</v>
      </c>
      <c r="B13" s="317">
        <v>45787</v>
      </c>
      <c r="C13" s="318" t="s">
        <v>43</v>
      </c>
      <c r="D13" s="266">
        <v>11</v>
      </c>
      <c r="E13" s="267" t="s">
        <v>159</v>
      </c>
      <c r="F13" s="266" t="s">
        <v>49</v>
      </c>
      <c r="G13" s="266">
        <v>3</v>
      </c>
      <c r="H13" s="266">
        <v>0</v>
      </c>
      <c r="I13" s="380" t="s">
        <v>31</v>
      </c>
      <c r="J13" s="374"/>
      <c r="K13" s="266"/>
      <c r="L13" s="269"/>
      <c r="M13" s="246" t="s">
        <v>70</v>
      </c>
      <c r="N13" s="270" t="s">
        <v>140</v>
      </c>
      <c r="O13" s="270" t="s">
        <v>70</v>
      </c>
      <c r="P13" s="271"/>
      <c r="Q13" s="272" t="s">
        <v>73</v>
      </c>
      <c r="R13" s="270" t="s">
        <v>46</v>
      </c>
      <c r="S13" s="270" t="s">
        <v>140</v>
      </c>
      <c r="T13" s="270"/>
      <c r="U13" s="273"/>
      <c r="V13" s="274" t="s">
        <v>146</v>
      </c>
      <c r="X13" s="60" t="s">
        <v>126</v>
      </c>
      <c r="Y13" s="297">
        <f t="shared" si="0"/>
        <v>0</v>
      </c>
      <c r="Z13" s="2">
        <f>COUNTIF('출전기록 (25)'!C$2:M$39,'2025 토탈'!X13)</f>
        <v>0</v>
      </c>
      <c r="AA13" s="2">
        <f>COUNTIF('출전기록 (25)'!N$2:S$39,'2025 토탈'!X13)</f>
        <v>0</v>
      </c>
      <c r="AB13" s="336">
        <f t="shared" si="1"/>
        <v>0</v>
      </c>
      <c r="AC13" s="337">
        <f t="shared" si="2"/>
        <v>0</v>
      </c>
      <c r="AD13" s="338">
        <f t="shared" si="3"/>
        <v>0</v>
      </c>
      <c r="AE13" s="297">
        <f t="shared" si="4"/>
        <v>3</v>
      </c>
      <c r="AF13" s="2">
        <f>COUNTIF('출전기록 (25)'!W$2:AG$7,'2025 토탈'!X13)+Z13</f>
        <v>1</v>
      </c>
      <c r="AG13" s="132">
        <f>COUNTIF('출전기록 (25)'!AH$2:AM$7,'2025 토탈'!X13)+AA13</f>
        <v>2</v>
      </c>
      <c r="AH13" s="336">
        <f t="shared" si="5"/>
        <v>0</v>
      </c>
      <c r="AI13" s="337">
        <f t="shared" si="6"/>
        <v>0</v>
      </c>
      <c r="AJ13" s="338">
        <f t="shared" si="7"/>
        <v>0</v>
      </c>
      <c r="AL13" s="2" t="s">
        <v>42</v>
      </c>
      <c r="AM13" s="2" t="s">
        <v>153</v>
      </c>
      <c r="AN13" s="89">
        <f t="shared" si="15"/>
        <v>3</v>
      </c>
      <c r="AO13" s="243">
        <f t="shared" si="16"/>
        <v>2</v>
      </c>
      <c r="AP13" s="243">
        <f t="shared" si="17"/>
        <v>0</v>
      </c>
      <c r="AQ13" s="351">
        <f t="shared" si="18"/>
        <v>1</v>
      </c>
      <c r="AR13" s="352">
        <f t="shared" si="19"/>
        <v>6</v>
      </c>
      <c r="AS13" s="23">
        <f t="shared" si="20"/>
        <v>0.66666666666666663</v>
      </c>
      <c r="AT13" s="2">
        <f t="shared" si="21"/>
        <v>6</v>
      </c>
      <c r="AU13" s="2">
        <f t="shared" si="22"/>
        <v>2</v>
      </c>
      <c r="AV13" s="2">
        <f t="shared" si="23"/>
        <v>4</v>
      </c>
      <c r="BA13" s="20" t="s">
        <v>160</v>
      </c>
      <c r="BB13" s="2">
        <f t="shared" si="8"/>
        <v>1</v>
      </c>
      <c r="BC13" s="243">
        <f t="shared" si="9"/>
        <v>0</v>
      </c>
      <c r="BD13" s="58">
        <f t="shared" si="10"/>
        <v>1</v>
      </c>
      <c r="BE13" s="342">
        <f t="shared" si="11"/>
        <v>0</v>
      </c>
      <c r="BF13" s="2">
        <f t="shared" si="12"/>
        <v>1</v>
      </c>
      <c r="BG13" s="11">
        <f t="shared" si="13"/>
        <v>0</v>
      </c>
      <c r="BH13" s="22">
        <f t="shared" si="14"/>
        <v>1</v>
      </c>
    </row>
    <row r="14" spans="1:60">
      <c r="A14" s="246" t="s">
        <v>42</v>
      </c>
      <c r="B14" s="317">
        <v>45795</v>
      </c>
      <c r="C14" s="318" t="s">
        <v>56</v>
      </c>
      <c r="D14" s="266">
        <v>12</v>
      </c>
      <c r="E14" s="267" t="s">
        <v>161</v>
      </c>
      <c r="F14" s="266" t="s">
        <v>49</v>
      </c>
      <c r="G14" s="266">
        <v>2</v>
      </c>
      <c r="H14" s="266">
        <v>0</v>
      </c>
      <c r="I14" s="380" t="s">
        <v>31</v>
      </c>
      <c r="J14" s="374"/>
      <c r="K14" s="266"/>
      <c r="L14" s="269"/>
      <c r="M14" s="246" t="s">
        <v>46</v>
      </c>
      <c r="N14" s="270" t="s">
        <v>54</v>
      </c>
      <c r="O14" s="270"/>
      <c r="P14" s="271"/>
      <c r="Q14" s="272"/>
      <c r="R14" s="270" t="s">
        <v>70</v>
      </c>
      <c r="S14" s="270"/>
      <c r="T14" s="270"/>
      <c r="U14" s="273"/>
      <c r="V14" s="274" t="s">
        <v>154</v>
      </c>
      <c r="X14" s="60" t="s">
        <v>162</v>
      </c>
      <c r="Y14" s="297">
        <f t="shared" si="0"/>
        <v>0</v>
      </c>
      <c r="Z14" s="2">
        <f>COUNTIF('출전기록 (25)'!C$2:M$39,'2025 토탈'!X14)</f>
        <v>0</v>
      </c>
      <c r="AA14" s="2">
        <f>COUNTIF('출전기록 (25)'!N$2:S$39,'2025 토탈'!X14)</f>
        <v>0</v>
      </c>
      <c r="AB14" s="336">
        <f t="shared" si="1"/>
        <v>0</v>
      </c>
      <c r="AC14" s="337">
        <f t="shared" si="2"/>
        <v>0</v>
      </c>
      <c r="AD14" s="338">
        <f t="shared" si="3"/>
        <v>0</v>
      </c>
      <c r="AE14" s="297">
        <f t="shared" si="4"/>
        <v>1</v>
      </c>
      <c r="AF14" s="2">
        <f>COUNTIF('출전기록 (25)'!W$2:AG$7,'2025 토탈'!X14)+Z14</f>
        <v>0</v>
      </c>
      <c r="AG14" s="132">
        <f>COUNTIF('출전기록 (25)'!AH$2:AM$7,'2025 토탈'!X14)+AA14</f>
        <v>1</v>
      </c>
      <c r="AH14" s="336">
        <f t="shared" si="5"/>
        <v>0</v>
      </c>
      <c r="AI14" s="337">
        <f t="shared" si="6"/>
        <v>0</v>
      </c>
      <c r="AJ14" s="338">
        <f t="shared" si="7"/>
        <v>0</v>
      </c>
      <c r="AL14" s="2" t="s">
        <v>42</v>
      </c>
      <c r="AM14" s="2" t="s">
        <v>155</v>
      </c>
      <c r="AN14" s="89">
        <f t="shared" si="15"/>
        <v>3</v>
      </c>
      <c r="AO14" s="243">
        <f t="shared" si="16"/>
        <v>2</v>
      </c>
      <c r="AP14" s="243">
        <f t="shared" si="17"/>
        <v>1</v>
      </c>
      <c r="AQ14" s="351">
        <f t="shared" si="18"/>
        <v>0</v>
      </c>
      <c r="AR14" s="352">
        <f t="shared" si="19"/>
        <v>7</v>
      </c>
      <c r="AS14" s="23">
        <f t="shared" si="20"/>
        <v>0.66666666666666663</v>
      </c>
      <c r="AT14" s="2">
        <f t="shared" si="21"/>
        <v>10</v>
      </c>
      <c r="AU14" s="2">
        <f t="shared" si="22"/>
        <v>6</v>
      </c>
      <c r="AV14" s="2">
        <f t="shared" si="23"/>
        <v>4</v>
      </c>
      <c r="BA14" s="20" t="s">
        <v>163</v>
      </c>
      <c r="BB14" s="2">
        <f t="shared" si="8"/>
        <v>1</v>
      </c>
      <c r="BC14" s="243">
        <f t="shared" si="9"/>
        <v>1</v>
      </c>
      <c r="BD14" s="58">
        <f t="shared" si="10"/>
        <v>0</v>
      </c>
      <c r="BE14" s="342">
        <f t="shared" si="11"/>
        <v>0</v>
      </c>
      <c r="BF14" s="2">
        <f t="shared" si="12"/>
        <v>3</v>
      </c>
      <c r="BG14" s="11">
        <f t="shared" si="13"/>
        <v>1</v>
      </c>
      <c r="BH14" s="22">
        <f t="shared" si="14"/>
        <v>3</v>
      </c>
    </row>
    <row r="15" spans="1:60">
      <c r="A15" s="246" t="s">
        <v>42</v>
      </c>
      <c r="B15" s="317">
        <v>45802</v>
      </c>
      <c r="C15" s="318" t="s">
        <v>56</v>
      </c>
      <c r="D15" s="266">
        <v>13</v>
      </c>
      <c r="E15" s="267" t="s">
        <v>164</v>
      </c>
      <c r="F15" s="268" t="s">
        <v>45</v>
      </c>
      <c r="G15" s="266">
        <v>2</v>
      </c>
      <c r="H15" s="266">
        <v>0</v>
      </c>
      <c r="I15" s="380" t="s">
        <v>31</v>
      </c>
      <c r="J15" s="374"/>
      <c r="K15" s="266"/>
      <c r="L15" s="269"/>
      <c r="M15" s="246" t="s">
        <v>46</v>
      </c>
      <c r="N15" s="270" t="s">
        <v>46</v>
      </c>
      <c r="O15" s="270"/>
      <c r="P15" s="271"/>
      <c r="Q15" s="272"/>
      <c r="R15" s="270"/>
      <c r="S15" s="270"/>
      <c r="T15" s="270"/>
      <c r="U15" s="290">
        <v>12052</v>
      </c>
      <c r="V15" s="291" t="s">
        <v>150</v>
      </c>
      <c r="X15" s="60" t="s">
        <v>165</v>
      </c>
      <c r="Y15" s="297">
        <f t="shared" si="0"/>
        <v>0</v>
      </c>
      <c r="Z15" s="2">
        <f>COUNTIF('출전기록 (25)'!C$2:M$39,'2025 토탈'!X15)</f>
        <v>0</v>
      </c>
      <c r="AA15" s="2">
        <f>COUNTIF('출전기록 (25)'!N$2:S$39,'2025 토탈'!X15)</f>
        <v>0</v>
      </c>
      <c r="AB15" s="336">
        <f t="shared" si="1"/>
        <v>0</v>
      </c>
      <c r="AC15" s="337">
        <f t="shared" si="2"/>
        <v>0</v>
      </c>
      <c r="AD15" s="338">
        <f t="shared" si="3"/>
        <v>0</v>
      </c>
      <c r="AE15" s="297">
        <f t="shared" si="4"/>
        <v>2</v>
      </c>
      <c r="AF15" s="2">
        <f>COUNTIF('출전기록 (25)'!W$2:AG$7,'2025 토탈'!X15)+Z15</f>
        <v>1</v>
      </c>
      <c r="AG15" s="132">
        <f>COUNTIF('출전기록 (25)'!AH$2:AM$7,'2025 토탈'!X15)+AA15</f>
        <v>1</v>
      </c>
      <c r="AH15" s="336">
        <f t="shared" si="5"/>
        <v>0</v>
      </c>
      <c r="AI15" s="337">
        <f t="shared" si="6"/>
        <v>0</v>
      </c>
      <c r="AJ15" s="338">
        <f t="shared" si="7"/>
        <v>0</v>
      </c>
      <c r="AL15" s="2" t="s">
        <v>42</v>
      </c>
      <c r="AM15" s="2" t="s">
        <v>78</v>
      </c>
      <c r="AN15" s="89">
        <f t="shared" si="15"/>
        <v>3</v>
      </c>
      <c r="AO15" s="243">
        <f t="shared" si="16"/>
        <v>2</v>
      </c>
      <c r="AP15" s="243">
        <f t="shared" si="17"/>
        <v>0</v>
      </c>
      <c r="AQ15" s="351">
        <f t="shared" si="18"/>
        <v>1</v>
      </c>
      <c r="AR15" s="352">
        <f t="shared" si="19"/>
        <v>6</v>
      </c>
      <c r="AS15" s="23">
        <f t="shared" si="20"/>
        <v>0.66666666666666663</v>
      </c>
      <c r="AT15" s="2">
        <f t="shared" si="21"/>
        <v>4</v>
      </c>
      <c r="AU15" s="2">
        <f t="shared" si="22"/>
        <v>2</v>
      </c>
      <c r="AV15" s="2">
        <f t="shared" si="23"/>
        <v>2</v>
      </c>
      <c r="BA15" s="20" t="s">
        <v>119</v>
      </c>
      <c r="BB15" s="2">
        <f t="shared" si="8"/>
        <v>1</v>
      </c>
      <c r="BC15" s="243">
        <f t="shared" si="9"/>
        <v>1</v>
      </c>
      <c r="BD15" s="58">
        <f t="shared" si="10"/>
        <v>0</v>
      </c>
      <c r="BE15" s="342">
        <f t="shared" si="11"/>
        <v>0</v>
      </c>
      <c r="BF15" s="2">
        <f t="shared" si="12"/>
        <v>3</v>
      </c>
      <c r="BG15" s="11">
        <f t="shared" si="13"/>
        <v>1</v>
      </c>
      <c r="BH15" s="22">
        <f t="shared" si="14"/>
        <v>3</v>
      </c>
    </row>
    <row r="16" spans="1:60">
      <c r="A16" s="246" t="s">
        <v>42</v>
      </c>
      <c r="B16" s="317">
        <v>45809</v>
      </c>
      <c r="C16" s="318" t="s">
        <v>56</v>
      </c>
      <c r="D16" s="24">
        <v>14</v>
      </c>
      <c r="E16" s="243" t="s">
        <v>155</v>
      </c>
      <c r="F16" s="24" t="s">
        <v>49</v>
      </c>
      <c r="G16" s="24">
        <v>3</v>
      </c>
      <c r="H16" s="24">
        <v>3</v>
      </c>
      <c r="I16" s="381" t="s">
        <v>32</v>
      </c>
      <c r="J16" s="375"/>
      <c r="K16" s="24"/>
      <c r="L16" s="41"/>
      <c r="M16" s="57" t="s">
        <v>166</v>
      </c>
      <c r="N16" s="58" t="s">
        <v>46</v>
      </c>
      <c r="O16" s="58" t="s">
        <v>70</v>
      </c>
      <c r="P16" s="59"/>
      <c r="Q16" s="143"/>
      <c r="R16" s="58"/>
      <c r="S16" s="58"/>
      <c r="T16" s="58"/>
      <c r="U16" s="248"/>
      <c r="V16" s="93" t="s">
        <v>74</v>
      </c>
      <c r="X16" s="60" t="s">
        <v>113</v>
      </c>
      <c r="Y16" s="297">
        <f t="shared" si="0"/>
        <v>0</v>
      </c>
      <c r="Z16" s="2">
        <f>COUNTIF('출전기록 (25)'!C$2:M$39,'2025 토탈'!X16)</f>
        <v>0</v>
      </c>
      <c r="AA16" s="2">
        <f>COUNTIF('출전기록 (25)'!N$2:S$39,'2025 토탈'!X16)</f>
        <v>0</v>
      </c>
      <c r="AB16" s="336">
        <f t="shared" si="1"/>
        <v>0</v>
      </c>
      <c r="AC16" s="337">
        <f t="shared" si="2"/>
        <v>0</v>
      </c>
      <c r="AD16" s="338">
        <f t="shared" si="3"/>
        <v>0</v>
      </c>
      <c r="AE16" s="297">
        <f t="shared" si="4"/>
        <v>0</v>
      </c>
      <c r="AF16" s="2">
        <f>COUNTIF('출전기록 (25)'!W$2:AG$7,'2025 토탈'!X16)+Z16</f>
        <v>0</v>
      </c>
      <c r="AG16" s="132">
        <f>COUNTIF('출전기록 (25)'!AH$2:AM$7,'2025 토탈'!X16)+AA16</f>
        <v>0</v>
      </c>
      <c r="AH16" s="336">
        <f t="shared" si="5"/>
        <v>0</v>
      </c>
      <c r="AI16" s="337">
        <f t="shared" si="6"/>
        <v>0</v>
      </c>
      <c r="AJ16" s="338">
        <f t="shared" si="7"/>
        <v>0</v>
      </c>
      <c r="AL16" s="2" t="s">
        <v>42</v>
      </c>
      <c r="AM16" s="2" t="s">
        <v>118</v>
      </c>
      <c r="AN16" s="89">
        <f t="shared" si="15"/>
        <v>3</v>
      </c>
      <c r="AO16" s="243">
        <f t="shared" si="16"/>
        <v>1</v>
      </c>
      <c r="AP16" s="243">
        <f t="shared" si="17"/>
        <v>1</v>
      </c>
      <c r="AQ16" s="351">
        <f t="shared" si="18"/>
        <v>1</v>
      </c>
      <c r="AR16" s="352">
        <f t="shared" si="19"/>
        <v>4</v>
      </c>
      <c r="AS16" s="23">
        <f t="shared" si="20"/>
        <v>0.33333333333333331</v>
      </c>
      <c r="AT16" s="2">
        <f t="shared" si="21"/>
        <v>5</v>
      </c>
      <c r="AU16" s="2">
        <f t="shared" si="22"/>
        <v>3</v>
      </c>
      <c r="AV16" s="2">
        <f t="shared" si="23"/>
        <v>2</v>
      </c>
      <c r="BA16" s="20" t="s">
        <v>167</v>
      </c>
      <c r="BB16" s="2">
        <f t="shared" si="8"/>
        <v>3</v>
      </c>
      <c r="BC16" s="243">
        <f t="shared" si="9"/>
        <v>1</v>
      </c>
      <c r="BD16" s="58">
        <f t="shared" si="10"/>
        <v>1</v>
      </c>
      <c r="BE16" s="342">
        <f t="shared" si="11"/>
        <v>1</v>
      </c>
      <c r="BF16" s="2">
        <f t="shared" si="12"/>
        <v>4</v>
      </c>
      <c r="BG16" s="11">
        <f t="shared" si="13"/>
        <v>0.33333333333333331</v>
      </c>
      <c r="BH16" s="22">
        <f t="shared" si="14"/>
        <v>1.3333333333333333</v>
      </c>
    </row>
    <row r="17" spans="1:60">
      <c r="A17" s="246" t="s">
        <v>42</v>
      </c>
      <c r="B17" s="317">
        <v>45816</v>
      </c>
      <c r="C17" s="318" t="s">
        <v>56</v>
      </c>
      <c r="D17" s="24">
        <v>15</v>
      </c>
      <c r="E17" s="243" t="s">
        <v>78</v>
      </c>
      <c r="F17" s="244" t="s">
        <v>45</v>
      </c>
      <c r="G17" s="24">
        <v>1</v>
      </c>
      <c r="H17" s="24">
        <v>0</v>
      </c>
      <c r="I17" s="381" t="s">
        <v>31</v>
      </c>
      <c r="J17" s="375"/>
      <c r="K17" s="24"/>
      <c r="L17" s="41"/>
      <c r="M17" s="57" t="s">
        <v>70</v>
      </c>
      <c r="N17" s="58"/>
      <c r="O17" s="58"/>
      <c r="P17" s="59"/>
      <c r="Q17" s="143"/>
      <c r="R17" s="58"/>
      <c r="S17" s="58"/>
      <c r="T17" s="58"/>
      <c r="U17" s="248">
        <v>11007</v>
      </c>
      <c r="V17" s="93" t="s">
        <v>152</v>
      </c>
      <c r="X17" s="327" t="s">
        <v>73</v>
      </c>
      <c r="Y17" s="297">
        <f t="shared" si="0"/>
        <v>34</v>
      </c>
      <c r="Z17" s="2">
        <f>COUNTIF('출전기록 (25)'!C$2:M$39,'2025 토탈'!X17)</f>
        <v>34</v>
      </c>
      <c r="AA17" s="2">
        <f>COUNTIF('출전기록 (25)'!N$2:S$39,'2025 토탈'!X17)</f>
        <v>0</v>
      </c>
      <c r="AB17" s="336">
        <f t="shared" si="1"/>
        <v>2</v>
      </c>
      <c r="AC17" s="337">
        <f t="shared" si="2"/>
        <v>3</v>
      </c>
      <c r="AD17" s="338">
        <f t="shared" si="3"/>
        <v>5</v>
      </c>
      <c r="AE17" s="297">
        <f t="shared" si="4"/>
        <v>34</v>
      </c>
      <c r="AF17" s="2">
        <f>COUNTIF('출전기록 (25)'!W$2:AG$7,'2025 토탈'!X17)+Z17</f>
        <v>34</v>
      </c>
      <c r="AG17" s="132">
        <f>COUNTIF('출전기록 (25)'!AH$2:AM$7,'2025 토탈'!X17)+AA17</f>
        <v>0</v>
      </c>
      <c r="AH17" s="336">
        <f t="shared" si="5"/>
        <v>2</v>
      </c>
      <c r="AI17" s="337">
        <f t="shared" si="6"/>
        <v>3</v>
      </c>
      <c r="AJ17" s="338">
        <f t="shared" si="7"/>
        <v>5</v>
      </c>
      <c r="AL17" s="2" t="s">
        <v>42</v>
      </c>
      <c r="AM17" s="2" t="s">
        <v>159</v>
      </c>
      <c r="AN17" s="89">
        <f t="shared" si="15"/>
        <v>3</v>
      </c>
      <c r="AO17" s="243">
        <f t="shared" si="16"/>
        <v>2</v>
      </c>
      <c r="AP17" s="243">
        <f t="shared" si="17"/>
        <v>1</v>
      </c>
      <c r="AQ17" s="351">
        <f t="shared" si="18"/>
        <v>0</v>
      </c>
      <c r="AR17" s="352">
        <f t="shared" si="19"/>
        <v>7</v>
      </c>
      <c r="AS17" s="23">
        <f t="shared" si="20"/>
        <v>0.66666666666666663</v>
      </c>
      <c r="AT17" s="2">
        <f t="shared" si="21"/>
        <v>6</v>
      </c>
      <c r="AU17" s="2">
        <f t="shared" si="22"/>
        <v>2</v>
      </c>
      <c r="AV17" s="2">
        <f t="shared" si="23"/>
        <v>4</v>
      </c>
      <c r="BA17" s="20" t="s">
        <v>168</v>
      </c>
      <c r="BB17" s="2">
        <f t="shared" si="8"/>
        <v>2</v>
      </c>
      <c r="BC17" s="243">
        <f t="shared" si="9"/>
        <v>1</v>
      </c>
      <c r="BD17" s="58">
        <f t="shared" si="10"/>
        <v>1</v>
      </c>
      <c r="BE17" s="342">
        <f t="shared" si="11"/>
        <v>0</v>
      </c>
      <c r="BF17" s="2">
        <f t="shared" si="12"/>
        <v>4</v>
      </c>
      <c r="BG17" s="11">
        <f t="shared" si="13"/>
        <v>0.5</v>
      </c>
      <c r="BH17" s="22">
        <f t="shared" si="14"/>
        <v>2</v>
      </c>
    </row>
    <row r="18" spans="1:60">
      <c r="A18" s="246" t="s">
        <v>42</v>
      </c>
      <c r="B18" s="317">
        <v>45823</v>
      </c>
      <c r="C18" s="318" t="s">
        <v>56</v>
      </c>
      <c r="D18" s="24">
        <v>16</v>
      </c>
      <c r="E18" s="243" t="s">
        <v>142</v>
      </c>
      <c r="F18" s="24" t="s">
        <v>49</v>
      </c>
      <c r="G18" s="24">
        <v>2</v>
      </c>
      <c r="H18" s="24">
        <v>1</v>
      </c>
      <c r="I18" s="381" t="s">
        <v>31</v>
      </c>
      <c r="J18" s="375"/>
      <c r="K18" s="24"/>
      <c r="L18" s="41"/>
      <c r="M18" s="57" t="s">
        <v>54</v>
      </c>
      <c r="N18" s="58" t="s">
        <v>54</v>
      </c>
      <c r="O18" s="58"/>
      <c r="P18" s="59"/>
      <c r="Q18" s="143" t="s">
        <v>70</v>
      </c>
      <c r="R18" s="58" t="s">
        <v>140</v>
      </c>
      <c r="S18" s="58"/>
      <c r="T18" s="58"/>
      <c r="U18" s="248"/>
      <c r="V18" s="93" t="s">
        <v>150</v>
      </c>
      <c r="X18" s="327" t="s">
        <v>93</v>
      </c>
      <c r="Y18" s="297">
        <f t="shared" si="0"/>
        <v>15</v>
      </c>
      <c r="Z18" s="2">
        <f>COUNTIF('출전기록 (25)'!C$2:M$39,'2025 토탈'!X18)</f>
        <v>8</v>
      </c>
      <c r="AA18" s="2">
        <f>COUNTIF('출전기록 (25)'!N$2:S$39,'2025 토탈'!X18)</f>
        <v>7</v>
      </c>
      <c r="AB18" s="336">
        <f t="shared" si="1"/>
        <v>1</v>
      </c>
      <c r="AC18" s="337">
        <f t="shared" si="2"/>
        <v>0</v>
      </c>
      <c r="AD18" s="338">
        <f t="shared" si="3"/>
        <v>1</v>
      </c>
      <c r="AE18" s="297">
        <f t="shared" si="4"/>
        <v>17</v>
      </c>
      <c r="AF18" s="2">
        <f>COUNTIF('출전기록 (25)'!W$2:AG$7,'2025 토탈'!X18)+Z18</f>
        <v>10</v>
      </c>
      <c r="AG18" s="132">
        <f>COUNTIF('출전기록 (25)'!AH$2:AM$7,'2025 토탈'!X18)+AA18</f>
        <v>7</v>
      </c>
      <c r="AH18" s="336">
        <f t="shared" si="5"/>
        <v>2</v>
      </c>
      <c r="AI18" s="337">
        <f t="shared" si="6"/>
        <v>0</v>
      </c>
      <c r="AJ18" s="338">
        <f t="shared" si="7"/>
        <v>2</v>
      </c>
      <c r="AL18" s="2" t="s">
        <v>42</v>
      </c>
      <c r="AM18" s="2" t="s">
        <v>161</v>
      </c>
      <c r="AN18" s="89">
        <f t="shared" si="15"/>
        <v>3</v>
      </c>
      <c r="AO18" s="243">
        <f t="shared" si="16"/>
        <v>3</v>
      </c>
      <c r="AP18" s="243">
        <f t="shared" si="17"/>
        <v>0</v>
      </c>
      <c r="AQ18" s="351">
        <f t="shared" si="18"/>
        <v>0</v>
      </c>
      <c r="AR18" s="352">
        <f t="shared" si="19"/>
        <v>9</v>
      </c>
      <c r="AS18" s="23">
        <f t="shared" si="20"/>
        <v>1</v>
      </c>
      <c r="AT18" s="2">
        <f t="shared" si="21"/>
        <v>7</v>
      </c>
      <c r="AU18" s="2">
        <f t="shared" si="22"/>
        <v>2</v>
      </c>
      <c r="AV18" s="2">
        <f t="shared" si="23"/>
        <v>5</v>
      </c>
      <c r="BA18" s="20" t="s">
        <v>169</v>
      </c>
      <c r="BB18" s="2">
        <f t="shared" si="8"/>
        <v>1</v>
      </c>
      <c r="BC18" s="243">
        <f t="shared" si="9"/>
        <v>0</v>
      </c>
      <c r="BD18" s="58">
        <f t="shared" si="10"/>
        <v>0</v>
      </c>
      <c r="BE18" s="342">
        <f t="shared" si="11"/>
        <v>1</v>
      </c>
      <c r="BF18" s="2">
        <f t="shared" si="12"/>
        <v>0</v>
      </c>
      <c r="BG18" s="11">
        <f t="shared" si="13"/>
        <v>0</v>
      </c>
      <c r="BH18" s="22">
        <f t="shared" si="14"/>
        <v>0</v>
      </c>
    </row>
    <row r="19" spans="1:60">
      <c r="A19" s="246" t="s">
        <v>42</v>
      </c>
      <c r="B19" s="317">
        <v>45829</v>
      </c>
      <c r="C19" s="318" t="s">
        <v>43</v>
      </c>
      <c r="D19" s="24">
        <v>17</v>
      </c>
      <c r="E19" s="243" t="s">
        <v>151</v>
      </c>
      <c r="F19" s="244" t="s">
        <v>45</v>
      </c>
      <c r="G19" s="24">
        <v>2</v>
      </c>
      <c r="H19" s="24">
        <v>0</v>
      </c>
      <c r="I19" s="381" t="s">
        <v>31</v>
      </c>
      <c r="J19" s="375"/>
      <c r="K19" s="24"/>
      <c r="L19" s="41"/>
      <c r="M19" s="57" t="s">
        <v>70</v>
      </c>
      <c r="N19" s="58" t="s">
        <v>46</v>
      </c>
      <c r="O19" s="58"/>
      <c r="P19" s="59"/>
      <c r="Q19" s="143"/>
      <c r="R19" s="58" t="s">
        <v>70</v>
      </c>
      <c r="S19" s="58"/>
      <c r="T19" s="58"/>
      <c r="U19" s="248">
        <v>9245</v>
      </c>
      <c r="V19" s="93" t="s">
        <v>158</v>
      </c>
      <c r="X19" s="327" t="s">
        <v>170</v>
      </c>
      <c r="Y19" s="297">
        <f t="shared" si="0"/>
        <v>6</v>
      </c>
      <c r="Z19" s="2">
        <f>COUNTIF('출전기록 (25)'!C$2:M$39,'2025 토탈'!X19)</f>
        <v>2</v>
      </c>
      <c r="AA19" s="2">
        <f>COUNTIF('출전기록 (25)'!N$2:S$39,'2025 토탈'!X19)</f>
        <v>4</v>
      </c>
      <c r="AB19" s="336">
        <f t="shared" si="1"/>
        <v>0</v>
      </c>
      <c r="AC19" s="337">
        <f t="shared" si="2"/>
        <v>0</v>
      </c>
      <c r="AD19" s="338">
        <f t="shared" si="3"/>
        <v>0</v>
      </c>
      <c r="AE19" s="297">
        <f t="shared" si="4"/>
        <v>9</v>
      </c>
      <c r="AF19" s="2">
        <f>COUNTIF('출전기록 (25)'!W$2:AG$7,'2025 토탈'!X19)+Z19</f>
        <v>5</v>
      </c>
      <c r="AG19" s="132">
        <f>COUNTIF('출전기록 (25)'!AH$2:AM$7,'2025 토탈'!X19)+AA19</f>
        <v>4</v>
      </c>
      <c r="AH19" s="336">
        <f t="shared" si="5"/>
        <v>0</v>
      </c>
      <c r="AI19" s="337">
        <f t="shared" si="6"/>
        <v>0</v>
      </c>
      <c r="AJ19" s="338">
        <f t="shared" si="7"/>
        <v>0</v>
      </c>
      <c r="AL19" s="2" t="s">
        <v>42</v>
      </c>
      <c r="AM19" s="2" t="s">
        <v>164</v>
      </c>
      <c r="AN19" s="89">
        <f t="shared" si="15"/>
        <v>3</v>
      </c>
      <c r="AO19" s="243">
        <f t="shared" si="16"/>
        <v>1</v>
      </c>
      <c r="AP19" s="243">
        <f t="shared" si="17"/>
        <v>0</v>
      </c>
      <c r="AQ19" s="351">
        <f t="shared" si="18"/>
        <v>2</v>
      </c>
      <c r="AR19" s="352">
        <f t="shared" si="19"/>
        <v>3</v>
      </c>
      <c r="AS19" s="23">
        <f t="shared" si="20"/>
        <v>0.33333333333333331</v>
      </c>
      <c r="AT19" s="2">
        <f t="shared" si="21"/>
        <v>4</v>
      </c>
      <c r="AU19" s="2">
        <f t="shared" si="22"/>
        <v>4</v>
      </c>
      <c r="AV19" s="2">
        <f t="shared" si="23"/>
        <v>0</v>
      </c>
      <c r="BA19" s="20" t="s">
        <v>64</v>
      </c>
      <c r="BB19" s="2">
        <f t="shared" si="8"/>
        <v>1</v>
      </c>
      <c r="BC19" s="243">
        <f t="shared" si="9"/>
        <v>0</v>
      </c>
      <c r="BD19" s="58">
        <f t="shared" si="10"/>
        <v>0</v>
      </c>
      <c r="BE19" s="342">
        <f t="shared" si="11"/>
        <v>1</v>
      </c>
      <c r="BF19" s="2">
        <f t="shared" si="12"/>
        <v>0</v>
      </c>
      <c r="BG19" s="11">
        <f t="shared" si="13"/>
        <v>0</v>
      </c>
      <c r="BH19" s="22">
        <f t="shared" si="14"/>
        <v>0</v>
      </c>
    </row>
    <row r="20" spans="1:60">
      <c r="A20" s="246" t="s">
        <v>42</v>
      </c>
      <c r="B20" s="317">
        <v>45837</v>
      </c>
      <c r="C20" s="318" t="s">
        <v>56</v>
      </c>
      <c r="D20" s="24">
        <v>18</v>
      </c>
      <c r="E20" s="243" t="s">
        <v>118</v>
      </c>
      <c r="F20" s="24" t="s">
        <v>49</v>
      </c>
      <c r="G20" s="24">
        <v>1</v>
      </c>
      <c r="H20" s="24">
        <v>1</v>
      </c>
      <c r="I20" s="381" t="s">
        <v>32</v>
      </c>
      <c r="J20" s="375"/>
      <c r="K20" s="24"/>
      <c r="L20" s="41"/>
      <c r="M20" s="57" t="s">
        <v>93</v>
      </c>
      <c r="N20" s="58"/>
      <c r="O20" s="58"/>
      <c r="P20" s="59"/>
      <c r="Q20" s="143"/>
      <c r="R20" s="58"/>
      <c r="S20" s="58"/>
      <c r="T20" s="58"/>
      <c r="U20" s="248"/>
      <c r="V20" s="93" t="s">
        <v>160</v>
      </c>
      <c r="X20" s="327" t="s">
        <v>171</v>
      </c>
      <c r="Y20" s="297">
        <f t="shared" si="0"/>
        <v>31</v>
      </c>
      <c r="Z20" s="2">
        <f>COUNTIF('출전기록 (25)'!C$2:M$39,'2025 토탈'!X20)</f>
        <v>8</v>
      </c>
      <c r="AA20" s="2">
        <f>COUNTIF('출전기록 (25)'!N$2:S$39,'2025 토탈'!X20)</f>
        <v>23</v>
      </c>
      <c r="AB20" s="336">
        <f t="shared" si="1"/>
        <v>4</v>
      </c>
      <c r="AC20" s="337">
        <f t="shared" si="2"/>
        <v>4</v>
      </c>
      <c r="AD20" s="338">
        <f t="shared" si="3"/>
        <v>8</v>
      </c>
      <c r="AE20" s="297">
        <f t="shared" si="4"/>
        <v>31</v>
      </c>
      <c r="AF20" s="2">
        <f>COUNTIF('출전기록 (25)'!W$2:AG$7,'2025 토탈'!X20)+Z20</f>
        <v>8</v>
      </c>
      <c r="AG20" s="132">
        <f>COUNTIF('출전기록 (25)'!AH$2:AM$7,'2025 토탈'!X20)+AA20</f>
        <v>23</v>
      </c>
      <c r="AH20" s="336">
        <f t="shared" si="5"/>
        <v>4</v>
      </c>
      <c r="AI20" s="337">
        <f t="shared" si="6"/>
        <v>4</v>
      </c>
      <c r="AJ20" s="338">
        <f t="shared" si="7"/>
        <v>8</v>
      </c>
      <c r="BA20" s="20" t="s">
        <v>76</v>
      </c>
      <c r="BB20" s="2">
        <f t="shared" si="8"/>
        <v>1</v>
      </c>
      <c r="BC20" s="243">
        <f t="shared" si="9"/>
        <v>0</v>
      </c>
      <c r="BD20" s="58">
        <f t="shared" si="10"/>
        <v>1</v>
      </c>
      <c r="BE20" s="342">
        <f t="shared" si="11"/>
        <v>0</v>
      </c>
      <c r="BF20" s="2">
        <f t="shared" si="12"/>
        <v>1</v>
      </c>
      <c r="BG20" s="11">
        <f t="shared" si="13"/>
        <v>0</v>
      </c>
      <c r="BH20" s="22">
        <f t="shared" si="14"/>
        <v>1</v>
      </c>
    </row>
    <row r="21" spans="1:60">
      <c r="A21" s="246" t="s">
        <v>42</v>
      </c>
      <c r="B21" s="317">
        <v>45843</v>
      </c>
      <c r="C21" s="318" t="s">
        <v>43</v>
      </c>
      <c r="D21" s="24">
        <v>19</v>
      </c>
      <c r="E21" s="243" t="s">
        <v>164</v>
      </c>
      <c r="F21" s="24" t="s">
        <v>49</v>
      </c>
      <c r="G21" s="24">
        <v>1</v>
      </c>
      <c r="H21" s="24">
        <v>2</v>
      </c>
      <c r="I21" s="381" t="s">
        <v>33</v>
      </c>
      <c r="J21" s="375"/>
      <c r="K21" s="24"/>
      <c r="L21" s="41"/>
      <c r="M21" s="57" t="s">
        <v>54</v>
      </c>
      <c r="N21" s="58"/>
      <c r="O21" s="58"/>
      <c r="P21" s="59"/>
      <c r="Q21" s="143" t="s">
        <v>97</v>
      </c>
      <c r="R21" s="58"/>
      <c r="S21" s="58"/>
      <c r="T21" s="58"/>
      <c r="U21" s="248"/>
      <c r="V21" s="93" t="s">
        <v>150</v>
      </c>
      <c r="X21" s="327" t="s">
        <v>172</v>
      </c>
      <c r="Y21" s="297">
        <f t="shared" si="0"/>
        <v>0</v>
      </c>
      <c r="Z21" s="2">
        <f>COUNTIF('출전기록 (25)'!C$2:M$39,'2025 토탈'!X21)</f>
        <v>0</v>
      </c>
      <c r="AA21" s="2">
        <f>COUNTIF('출전기록 (25)'!N$2:S$39,'2025 토탈'!X21)</f>
        <v>0</v>
      </c>
      <c r="AB21" s="336">
        <f t="shared" si="1"/>
        <v>0</v>
      </c>
      <c r="AC21" s="337">
        <f t="shared" si="2"/>
        <v>0</v>
      </c>
      <c r="AD21" s="338">
        <f t="shared" si="3"/>
        <v>0</v>
      </c>
      <c r="AE21" s="297">
        <f t="shared" si="4"/>
        <v>0</v>
      </c>
      <c r="AF21" s="2">
        <f>COUNTIF('출전기록 (25)'!W$2:AG$7,'2025 토탈'!X21)+Z21</f>
        <v>0</v>
      </c>
      <c r="AG21" s="132">
        <f>COUNTIF('출전기록 (25)'!AH$2:AM$7,'2025 토탈'!X21)+AA21</f>
        <v>0</v>
      </c>
      <c r="AH21" s="336">
        <f t="shared" si="5"/>
        <v>0</v>
      </c>
      <c r="AI21" s="337">
        <f t="shared" si="6"/>
        <v>0</v>
      </c>
      <c r="AJ21" s="338">
        <f t="shared" si="7"/>
        <v>0</v>
      </c>
      <c r="BA21" s="20" t="s">
        <v>173</v>
      </c>
      <c r="BB21" s="2">
        <f t="shared" si="8"/>
        <v>1</v>
      </c>
      <c r="BC21" s="243">
        <f t="shared" si="9"/>
        <v>1</v>
      </c>
      <c r="BD21" s="58">
        <f t="shared" si="10"/>
        <v>0</v>
      </c>
      <c r="BE21" s="342">
        <f t="shared" si="11"/>
        <v>0</v>
      </c>
      <c r="BF21" s="2">
        <f t="shared" si="12"/>
        <v>3</v>
      </c>
      <c r="BG21" s="11">
        <f t="shared" si="13"/>
        <v>1</v>
      </c>
      <c r="BH21" s="22">
        <f t="shared" si="14"/>
        <v>3</v>
      </c>
    </row>
    <row r="22" spans="1:60">
      <c r="A22" s="246" t="s">
        <v>42</v>
      </c>
      <c r="B22" s="317">
        <v>45851</v>
      </c>
      <c r="C22" s="318" t="s">
        <v>56</v>
      </c>
      <c r="D22" s="24">
        <v>20</v>
      </c>
      <c r="E22" s="243" t="s">
        <v>159</v>
      </c>
      <c r="F22" s="244" t="s">
        <v>45</v>
      </c>
      <c r="G22" s="24">
        <v>2</v>
      </c>
      <c r="H22" s="24">
        <v>1</v>
      </c>
      <c r="I22" s="381" t="s">
        <v>31</v>
      </c>
      <c r="J22" s="375"/>
      <c r="K22" s="24"/>
      <c r="L22" s="41"/>
      <c r="M22" s="57" t="s">
        <v>140</v>
      </c>
      <c r="N22" s="58" t="s">
        <v>46</v>
      </c>
      <c r="O22" s="58"/>
      <c r="P22" s="59"/>
      <c r="Q22" s="143" t="s">
        <v>70</v>
      </c>
      <c r="R22" s="58"/>
      <c r="S22" s="58"/>
      <c r="T22" s="58"/>
      <c r="U22" s="248">
        <v>9326</v>
      </c>
      <c r="V22" s="93" t="s">
        <v>119</v>
      </c>
      <c r="X22" s="327" t="s">
        <v>174</v>
      </c>
      <c r="Y22" s="297">
        <f t="shared" si="0"/>
        <v>0</v>
      </c>
      <c r="Z22" s="2">
        <f>COUNTIF('출전기록 (25)'!C$2:M$39,'2025 토탈'!X22)</f>
        <v>0</v>
      </c>
      <c r="AA22" s="2">
        <f>COUNTIF('출전기록 (25)'!N$2:S$39,'2025 토탈'!X22)</f>
        <v>0</v>
      </c>
      <c r="AB22" s="336">
        <f t="shared" si="1"/>
        <v>0</v>
      </c>
      <c r="AC22" s="337">
        <f t="shared" si="2"/>
        <v>0</v>
      </c>
      <c r="AD22" s="338">
        <f t="shared" si="3"/>
        <v>0</v>
      </c>
      <c r="AE22" s="297">
        <f t="shared" si="4"/>
        <v>2</v>
      </c>
      <c r="AF22" s="2">
        <f>COUNTIF('출전기록 (25)'!W$2:AG$7,'2025 토탈'!X22)+Z22</f>
        <v>0</v>
      </c>
      <c r="AG22" s="132">
        <f>COUNTIF('출전기록 (25)'!AH$2:AM$7,'2025 토탈'!X22)+AA22</f>
        <v>2</v>
      </c>
      <c r="AH22" s="336">
        <f t="shared" si="5"/>
        <v>0</v>
      </c>
      <c r="AI22" s="337">
        <f t="shared" si="6"/>
        <v>0</v>
      </c>
      <c r="AJ22" s="338">
        <f t="shared" si="7"/>
        <v>0</v>
      </c>
      <c r="BA22" s="20" t="s">
        <v>58</v>
      </c>
      <c r="BB22" s="2">
        <f t="shared" si="8"/>
        <v>1</v>
      </c>
      <c r="BC22" s="243">
        <f t="shared" si="9"/>
        <v>0</v>
      </c>
      <c r="BD22" s="58">
        <f t="shared" si="10"/>
        <v>0</v>
      </c>
      <c r="BE22" s="342">
        <f t="shared" si="11"/>
        <v>1</v>
      </c>
      <c r="BF22" s="2">
        <f t="shared" si="12"/>
        <v>0</v>
      </c>
      <c r="BG22" s="11">
        <f t="shared" si="13"/>
        <v>0</v>
      </c>
      <c r="BH22" s="22">
        <f t="shared" si="14"/>
        <v>0</v>
      </c>
    </row>
    <row r="23" spans="1:60" ht="17.5" customHeight="1">
      <c r="A23" s="246" t="s">
        <v>42</v>
      </c>
      <c r="B23" s="317">
        <v>45858</v>
      </c>
      <c r="C23" s="318" t="s">
        <v>56</v>
      </c>
      <c r="D23" s="24">
        <v>21</v>
      </c>
      <c r="E23" s="243" t="s">
        <v>139</v>
      </c>
      <c r="F23" s="24" t="s">
        <v>49</v>
      </c>
      <c r="G23" s="24">
        <v>2</v>
      </c>
      <c r="H23" s="24">
        <v>0</v>
      </c>
      <c r="I23" s="381" t="s">
        <v>31</v>
      </c>
      <c r="J23" s="375"/>
      <c r="K23" s="24"/>
      <c r="L23" s="41"/>
      <c r="M23" s="57" t="s">
        <v>114</v>
      </c>
      <c r="N23" s="58" t="s">
        <v>171</v>
      </c>
      <c r="O23" s="58"/>
      <c r="P23" s="59"/>
      <c r="Q23" s="143" t="s">
        <v>80</v>
      </c>
      <c r="R23" s="58"/>
      <c r="S23" s="58"/>
      <c r="T23" s="58"/>
      <c r="U23" s="248"/>
      <c r="V23" s="93" t="s">
        <v>163</v>
      </c>
      <c r="X23" s="327" t="s">
        <v>175</v>
      </c>
      <c r="Y23" s="297">
        <f t="shared" si="0"/>
        <v>0</v>
      </c>
      <c r="Z23" s="2">
        <f>COUNTIF('출전기록 (25)'!C$2:M$39,'2025 토탈'!X23)</f>
        <v>0</v>
      </c>
      <c r="AA23" s="2">
        <f>COUNTIF('출전기록 (25)'!N$2:S$39,'2025 토탈'!X23)</f>
        <v>0</v>
      </c>
      <c r="AB23" s="336">
        <f t="shared" si="1"/>
        <v>0</v>
      </c>
      <c r="AC23" s="337">
        <f t="shared" si="2"/>
        <v>0</v>
      </c>
      <c r="AD23" s="338">
        <f t="shared" si="3"/>
        <v>0</v>
      </c>
      <c r="AE23" s="297">
        <f t="shared" si="4"/>
        <v>1</v>
      </c>
      <c r="AF23" s="2">
        <f>COUNTIF('출전기록 (25)'!W$2:AG$7,'2025 토탈'!X23)+Z23</f>
        <v>1</v>
      </c>
      <c r="AG23" s="132">
        <f>COUNTIF('출전기록 (25)'!AH$2:AM$7,'2025 토탈'!X23)+AA23</f>
        <v>0</v>
      </c>
      <c r="AH23" s="336">
        <f t="shared" si="5"/>
        <v>0</v>
      </c>
      <c r="AI23" s="337">
        <f t="shared" si="6"/>
        <v>0</v>
      </c>
      <c r="AJ23" s="338">
        <f t="shared" si="7"/>
        <v>0</v>
      </c>
      <c r="BA23" s="353" t="s">
        <v>60</v>
      </c>
      <c r="BB23" s="353">
        <f>SUM(BB3:BB22)</f>
        <v>39</v>
      </c>
      <c r="BC23" s="353">
        <f>SUM(BC3:BC22)</f>
        <v>23</v>
      </c>
      <c r="BD23" s="353">
        <f>SUM(BD3:BD22)</f>
        <v>9</v>
      </c>
      <c r="BE23" s="353">
        <f>SUM(BE3:BE22)</f>
        <v>7</v>
      </c>
      <c r="BF23" s="353">
        <f>SUM(BF3:BF22)</f>
        <v>78</v>
      </c>
      <c r="BG23" s="354">
        <f t="shared" si="13"/>
        <v>0.58974358974358976</v>
      </c>
      <c r="BH23" s="355">
        <f t="shared" si="14"/>
        <v>2</v>
      </c>
    </row>
    <row r="24" spans="1:60">
      <c r="A24" s="246" t="s">
        <v>42</v>
      </c>
      <c r="B24" s="317">
        <v>45865</v>
      </c>
      <c r="C24" s="318" t="s">
        <v>56</v>
      </c>
      <c r="D24" s="24">
        <v>22</v>
      </c>
      <c r="E24" s="243" t="s">
        <v>161</v>
      </c>
      <c r="F24" s="244" t="s">
        <v>45</v>
      </c>
      <c r="G24" s="24">
        <v>4</v>
      </c>
      <c r="H24" s="24">
        <v>2</v>
      </c>
      <c r="I24" s="381" t="s">
        <v>31</v>
      </c>
      <c r="J24" s="375"/>
      <c r="K24" s="24"/>
      <c r="L24" s="41"/>
      <c r="M24" s="57" t="s">
        <v>70</v>
      </c>
      <c r="N24" s="58" t="s">
        <v>171</v>
      </c>
      <c r="O24" s="58" t="s">
        <v>70</v>
      </c>
      <c r="P24" s="59" t="s">
        <v>46</v>
      </c>
      <c r="Q24" s="143" t="s">
        <v>171</v>
      </c>
      <c r="R24" s="58"/>
      <c r="S24" s="58" t="s">
        <v>52</v>
      </c>
      <c r="T24" s="58"/>
      <c r="U24" s="248">
        <v>7392</v>
      </c>
      <c r="V24" s="93" t="s">
        <v>74</v>
      </c>
      <c r="X24" s="358" t="s">
        <v>176</v>
      </c>
      <c r="Y24" s="297">
        <f t="shared" si="0"/>
        <v>19</v>
      </c>
      <c r="Z24" s="2">
        <f>COUNTIF('출전기록 (25)'!C$2:M$39,'2025 토탈'!X24)</f>
        <v>15</v>
      </c>
      <c r="AA24" s="2">
        <f>COUNTIF('출전기록 (25)'!N$2:S$39,'2025 토탈'!X24)</f>
        <v>4</v>
      </c>
      <c r="AB24" s="336">
        <f t="shared" si="1"/>
        <v>0</v>
      </c>
      <c r="AC24" s="337">
        <f t="shared" si="2"/>
        <v>0</v>
      </c>
      <c r="AD24" s="338">
        <f t="shared" si="3"/>
        <v>0</v>
      </c>
      <c r="AE24" s="297">
        <f t="shared" si="4"/>
        <v>19</v>
      </c>
      <c r="AF24" s="2">
        <f>COUNTIF('출전기록 (25)'!W$2:AG$7,'2025 토탈'!X24)+Z24</f>
        <v>15</v>
      </c>
      <c r="AG24" s="132">
        <f>COUNTIF('출전기록 (25)'!AH$2:AM$7,'2025 토탈'!X24)+AA24</f>
        <v>4</v>
      </c>
      <c r="AH24" s="336">
        <f t="shared" si="5"/>
        <v>0</v>
      </c>
      <c r="AI24" s="337">
        <f t="shared" si="6"/>
        <v>0</v>
      </c>
      <c r="AJ24" s="338">
        <f t="shared" si="7"/>
        <v>0</v>
      </c>
    </row>
    <row r="25" spans="1:60">
      <c r="A25" s="246" t="s">
        <v>42</v>
      </c>
      <c r="B25" s="317">
        <v>45871</v>
      </c>
      <c r="C25" s="318" t="s">
        <v>43</v>
      </c>
      <c r="D25" s="24">
        <v>23</v>
      </c>
      <c r="E25" s="243" t="s">
        <v>147</v>
      </c>
      <c r="F25" s="24" t="s">
        <v>49</v>
      </c>
      <c r="G25" s="24">
        <v>0</v>
      </c>
      <c r="H25" s="24">
        <v>0</v>
      </c>
      <c r="I25" s="381" t="s">
        <v>32</v>
      </c>
      <c r="J25" s="375"/>
      <c r="K25" s="24"/>
      <c r="L25" s="41"/>
      <c r="M25" s="57"/>
      <c r="N25" s="58"/>
      <c r="O25" s="58"/>
      <c r="P25" s="59"/>
      <c r="Q25" s="143"/>
      <c r="R25" s="58"/>
      <c r="S25" s="58"/>
      <c r="T25" s="58"/>
      <c r="U25" s="248"/>
      <c r="V25" s="93" t="s">
        <v>167</v>
      </c>
      <c r="X25" s="358" t="s">
        <v>90</v>
      </c>
      <c r="Y25" s="297">
        <f t="shared" si="0"/>
        <v>17</v>
      </c>
      <c r="Z25" s="2">
        <f>COUNTIF('출전기록 (25)'!C$2:M$39,'2025 토탈'!X25)</f>
        <v>13</v>
      </c>
      <c r="AA25" s="2">
        <f>COUNTIF('출전기록 (25)'!N$2:S$39,'2025 토탈'!X25)</f>
        <v>4</v>
      </c>
      <c r="AB25" s="336">
        <f t="shared" si="1"/>
        <v>1</v>
      </c>
      <c r="AC25" s="337">
        <f t="shared" si="2"/>
        <v>0</v>
      </c>
      <c r="AD25" s="338">
        <f t="shared" si="3"/>
        <v>1</v>
      </c>
      <c r="AE25" s="297">
        <f t="shared" si="4"/>
        <v>17</v>
      </c>
      <c r="AF25" s="2">
        <f>COUNTIF('출전기록 (25)'!W$2:AG$7,'2025 토탈'!X25)+Z25</f>
        <v>13</v>
      </c>
      <c r="AG25" s="132">
        <f>COUNTIF('출전기록 (25)'!AH$2:AM$7,'2025 토탈'!X25)+AA25</f>
        <v>4</v>
      </c>
      <c r="AH25" s="336">
        <f t="shared" si="5"/>
        <v>1</v>
      </c>
      <c r="AI25" s="337">
        <f t="shared" si="6"/>
        <v>0</v>
      </c>
      <c r="AJ25" s="338">
        <f t="shared" si="7"/>
        <v>1</v>
      </c>
    </row>
    <row r="26" spans="1:60">
      <c r="A26" s="246" t="s">
        <v>42</v>
      </c>
      <c r="B26" s="317">
        <v>45878</v>
      </c>
      <c r="C26" s="318" t="s">
        <v>43</v>
      </c>
      <c r="D26" s="24">
        <v>24</v>
      </c>
      <c r="E26" s="243" t="s">
        <v>149</v>
      </c>
      <c r="F26" s="24" t="s">
        <v>49</v>
      </c>
      <c r="G26" s="24">
        <v>2</v>
      </c>
      <c r="H26" s="24">
        <v>0</v>
      </c>
      <c r="I26" s="381" t="s">
        <v>31</v>
      </c>
      <c r="J26" s="375"/>
      <c r="K26" s="24"/>
      <c r="L26" s="41"/>
      <c r="M26" s="57" t="s">
        <v>54</v>
      </c>
      <c r="N26" s="58" t="s">
        <v>171</v>
      </c>
      <c r="O26" s="58"/>
      <c r="P26" s="59"/>
      <c r="Q26" s="143" t="s">
        <v>70</v>
      </c>
      <c r="R26" s="58" t="s">
        <v>143</v>
      </c>
      <c r="S26" s="58"/>
      <c r="T26" s="58"/>
      <c r="U26" s="248"/>
      <c r="V26" s="93" t="s">
        <v>168</v>
      </c>
      <c r="X26" s="329" t="s">
        <v>96</v>
      </c>
      <c r="Y26" s="297">
        <f t="shared" si="0"/>
        <v>19</v>
      </c>
      <c r="Z26" s="2">
        <f>COUNTIF('출전기록 (25)'!C$2:M$39,'2025 토탈'!X26)</f>
        <v>19</v>
      </c>
      <c r="AA26" s="2">
        <f>COUNTIF('출전기록 (25)'!N$2:S$39,'2025 토탈'!X26)</f>
        <v>0</v>
      </c>
      <c r="AB26" s="336">
        <f t="shared" si="1"/>
        <v>1</v>
      </c>
      <c r="AC26" s="337">
        <f t="shared" si="2"/>
        <v>0</v>
      </c>
      <c r="AD26" s="338">
        <f t="shared" si="3"/>
        <v>1</v>
      </c>
      <c r="AE26" s="297">
        <f t="shared" si="4"/>
        <v>19</v>
      </c>
      <c r="AF26" s="2">
        <f>COUNTIF('출전기록 (25)'!W$2:AG$7,'2025 토탈'!X26)+Z26</f>
        <v>19</v>
      </c>
      <c r="AG26" s="2">
        <f>COUNTIF('출전기록 (25)'!AH$2:AL$7,'2025 토탈'!X26)+AA26</f>
        <v>0</v>
      </c>
      <c r="AH26" s="336">
        <f t="shared" si="5"/>
        <v>1</v>
      </c>
      <c r="AI26" s="337">
        <f t="shared" si="6"/>
        <v>0</v>
      </c>
      <c r="AJ26" s="338">
        <f t="shared" si="7"/>
        <v>1</v>
      </c>
    </row>
    <row r="27" spans="1:60">
      <c r="A27" s="246" t="s">
        <v>42</v>
      </c>
      <c r="B27" s="317">
        <v>45885</v>
      </c>
      <c r="C27" s="318" t="s">
        <v>43</v>
      </c>
      <c r="D27" s="24">
        <v>25</v>
      </c>
      <c r="E27" s="243" t="s">
        <v>145</v>
      </c>
      <c r="F27" s="244" t="s">
        <v>45</v>
      </c>
      <c r="G27" s="24">
        <v>1</v>
      </c>
      <c r="H27" s="24">
        <v>2</v>
      </c>
      <c r="I27" s="381" t="s">
        <v>33</v>
      </c>
      <c r="J27" s="375"/>
      <c r="K27" s="24"/>
      <c r="L27" s="41"/>
      <c r="M27" s="57" t="s">
        <v>90</v>
      </c>
      <c r="N27" s="58"/>
      <c r="O27" s="58"/>
      <c r="P27" s="59"/>
      <c r="Q27" s="143" t="s">
        <v>143</v>
      </c>
      <c r="R27" s="58"/>
      <c r="S27" s="58"/>
      <c r="T27" s="58"/>
      <c r="U27" s="248">
        <v>9352</v>
      </c>
      <c r="V27" s="93" t="s">
        <v>152</v>
      </c>
      <c r="X27" s="329" t="s">
        <v>97</v>
      </c>
      <c r="Y27" s="297">
        <f t="shared" si="0"/>
        <v>37</v>
      </c>
      <c r="Z27" s="2">
        <f>COUNTIF('출전기록 (25)'!C$2:M$39,'2025 토탈'!X27)</f>
        <v>37</v>
      </c>
      <c r="AA27" s="2">
        <f>COUNTIF('출전기록 (25)'!N$2:S$39,'2025 토탈'!X27)</f>
        <v>0</v>
      </c>
      <c r="AB27" s="336">
        <f t="shared" si="1"/>
        <v>1</v>
      </c>
      <c r="AC27" s="337">
        <f t="shared" si="2"/>
        <v>2</v>
      </c>
      <c r="AD27" s="338">
        <f t="shared" si="3"/>
        <v>3</v>
      </c>
      <c r="AE27" s="297">
        <f t="shared" si="4"/>
        <v>37</v>
      </c>
      <c r="AF27" s="2">
        <f>COUNTIF('출전기록 (25)'!W$2:AG$7,'2025 토탈'!X27)+Z27</f>
        <v>37</v>
      </c>
      <c r="AG27" s="2">
        <f>COUNTIF('출전기록 (25)'!AH$2:AL$7,'2025 토탈'!X27)+AA27</f>
        <v>0</v>
      </c>
      <c r="AH27" s="336">
        <f t="shared" si="5"/>
        <v>1</v>
      </c>
      <c r="AI27" s="337">
        <f t="shared" si="6"/>
        <v>2</v>
      </c>
      <c r="AJ27" s="338">
        <f t="shared" si="7"/>
        <v>3</v>
      </c>
    </row>
    <row r="28" spans="1:60">
      <c r="A28" s="246" t="s">
        <v>42</v>
      </c>
      <c r="B28" s="317">
        <v>45893</v>
      </c>
      <c r="C28" s="318" t="s">
        <v>56</v>
      </c>
      <c r="D28" s="24">
        <v>26</v>
      </c>
      <c r="E28" s="243" t="s">
        <v>153</v>
      </c>
      <c r="F28" s="24" t="s">
        <v>49</v>
      </c>
      <c r="G28" s="24">
        <v>4</v>
      </c>
      <c r="H28" s="24">
        <v>0</v>
      </c>
      <c r="I28" s="381" t="s">
        <v>31</v>
      </c>
      <c r="J28" s="375"/>
      <c r="K28" s="24"/>
      <c r="L28" s="41"/>
      <c r="M28" s="57" t="s">
        <v>70</v>
      </c>
      <c r="N28" s="58" t="s">
        <v>114</v>
      </c>
      <c r="O28" s="58" t="s">
        <v>70</v>
      </c>
      <c r="P28" s="59" t="s">
        <v>54</v>
      </c>
      <c r="Q28" s="143"/>
      <c r="R28" s="58" t="s">
        <v>70</v>
      </c>
      <c r="S28" s="58" t="s">
        <v>54</v>
      </c>
      <c r="T28" s="58" t="s">
        <v>171</v>
      </c>
      <c r="U28" s="248"/>
      <c r="V28" s="93" t="s">
        <v>157</v>
      </c>
      <c r="X28" s="329" t="s">
        <v>177</v>
      </c>
      <c r="Y28" s="297">
        <f t="shared" si="0"/>
        <v>15</v>
      </c>
      <c r="Z28" s="2">
        <f>COUNTIF('출전기록 (25)'!C$2:M$39,'2025 토탈'!X28)</f>
        <v>4</v>
      </c>
      <c r="AA28" s="2">
        <f>COUNTIF('출전기록 (25)'!N$2:S$39,'2025 토탈'!X28)</f>
        <v>11</v>
      </c>
      <c r="AB28" s="336">
        <f t="shared" si="1"/>
        <v>0</v>
      </c>
      <c r="AC28" s="337">
        <f t="shared" si="2"/>
        <v>0</v>
      </c>
      <c r="AD28" s="338">
        <f t="shared" si="3"/>
        <v>0</v>
      </c>
      <c r="AE28" s="297">
        <f t="shared" si="4"/>
        <v>17</v>
      </c>
      <c r="AF28" s="2">
        <f>COUNTIF('출전기록 (25)'!W$2:AG$7,'2025 토탈'!X28)+Z28</f>
        <v>6</v>
      </c>
      <c r="AG28" s="2">
        <f>COUNTIF('출전기록 (25)'!AH$2:AL$7,'2025 토탈'!X28)+AA28</f>
        <v>11</v>
      </c>
      <c r="AH28" s="336">
        <f t="shared" si="5"/>
        <v>0</v>
      </c>
      <c r="AI28" s="337">
        <f t="shared" si="6"/>
        <v>0</v>
      </c>
      <c r="AJ28" s="338">
        <f t="shared" si="7"/>
        <v>0</v>
      </c>
    </row>
    <row r="29" spans="1:60">
      <c r="A29" s="246" t="s">
        <v>42</v>
      </c>
      <c r="B29" s="317">
        <v>45899</v>
      </c>
      <c r="C29" s="318" t="s">
        <v>43</v>
      </c>
      <c r="D29" s="266">
        <v>27</v>
      </c>
      <c r="E29" s="267" t="s">
        <v>159</v>
      </c>
      <c r="F29" s="268" t="s">
        <v>45</v>
      </c>
      <c r="G29" s="266">
        <v>1</v>
      </c>
      <c r="H29" s="266">
        <v>1</v>
      </c>
      <c r="I29" s="380" t="s">
        <v>32</v>
      </c>
      <c r="J29" s="374"/>
      <c r="K29" s="266"/>
      <c r="L29" s="269"/>
      <c r="M29" s="246" t="s">
        <v>73</v>
      </c>
      <c r="N29" s="270"/>
      <c r="O29" s="270"/>
      <c r="P29" s="271"/>
      <c r="Q29" s="272" t="s">
        <v>63</v>
      </c>
      <c r="R29" s="270"/>
      <c r="S29" s="270"/>
      <c r="T29" s="270"/>
      <c r="U29" s="273">
        <v>8441</v>
      </c>
      <c r="V29" s="274" t="s">
        <v>168</v>
      </c>
      <c r="X29" s="329" t="s">
        <v>63</v>
      </c>
      <c r="Y29" s="297">
        <f t="shared" si="0"/>
        <v>35</v>
      </c>
      <c r="Z29" s="2">
        <f>COUNTIF('출전기록 (25)'!C$2:M$39,'2025 토탈'!X29)</f>
        <v>35</v>
      </c>
      <c r="AA29" s="2">
        <f>COUNTIF('출전기록 (25)'!N$2:S$39,'2025 토탈'!X29)</f>
        <v>0</v>
      </c>
      <c r="AB29" s="336">
        <f t="shared" si="1"/>
        <v>0</v>
      </c>
      <c r="AC29" s="337">
        <f t="shared" si="2"/>
        <v>5</v>
      </c>
      <c r="AD29" s="338">
        <f t="shared" si="3"/>
        <v>5</v>
      </c>
      <c r="AE29" s="297">
        <f t="shared" si="4"/>
        <v>35</v>
      </c>
      <c r="AF29" s="2">
        <f>COUNTIF('출전기록 (25)'!W$2:AG$7,'2025 토탈'!X29)+Z29</f>
        <v>35</v>
      </c>
      <c r="AG29" s="2">
        <f>COUNTIF('출전기록 (25)'!AH$2:AL$7,'2025 토탈'!X29)+AA29</f>
        <v>0</v>
      </c>
      <c r="AH29" s="336">
        <f t="shared" si="5"/>
        <v>0</v>
      </c>
      <c r="AI29" s="337">
        <f t="shared" si="6"/>
        <v>5</v>
      </c>
      <c r="AJ29" s="338">
        <f t="shared" si="7"/>
        <v>5</v>
      </c>
    </row>
    <row r="30" spans="1:60">
      <c r="A30" s="246" t="s">
        <v>42</v>
      </c>
      <c r="B30" s="317">
        <v>45907</v>
      </c>
      <c r="C30" s="318" t="s">
        <v>56</v>
      </c>
      <c r="D30" s="266">
        <v>28</v>
      </c>
      <c r="E30" s="267" t="s">
        <v>78</v>
      </c>
      <c r="F30" s="266" t="s">
        <v>49</v>
      </c>
      <c r="G30" s="266">
        <v>0</v>
      </c>
      <c r="H30" s="266">
        <v>1</v>
      </c>
      <c r="I30" s="380" t="s">
        <v>33</v>
      </c>
      <c r="J30" s="374"/>
      <c r="K30" s="266"/>
      <c r="L30" s="269"/>
      <c r="M30" s="246"/>
      <c r="N30" s="270"/>
      <c r="O30" s="270"/>
      <c r="P30" s="271"/>
      <c r="Q30" s="272"/>
      <c r="R30" s="270"/>
      <c r="S30" s="270"/>
      <c r="T30" s="270"/>
      <c r="U30" s="273"/>
      <c r="V30" s="274" t="s">
        <v>64</v>
      </c>
      <c r="X30" s="329" t="s">
        <v>80</v>
      </c>
      <c r="Y30" s="297">
        <f t="shared" si="0"/>
        <v>21</v>
      </c>
      <c r="Z30" s="2">
        <f>COUNTIF('출전기록 (25)'!C$2:M$39,'2025 토탈'!X30)</f>
        <v>15</v>
      </c>
      <c r="AA30" s="2">
        <f>COUNTIF('출전기록 (25)'!N$2:S$39,'2025 토탈'!X30)</f>
        <v>6</v>
      </c>
      <c r="AB30" s="336">
        <f t="shared" si="1"/>
        <v>0</v>
      </c>
      <c r="AC30" s="337">
        <f t="shared" si="2"/>
        <v>1</v>
      </c>
      <c r="AD30" s="338">
        <f t="shared" si="3"/>
        <v>1</v>
      </c>
      <c r="AE30" s="297">
        <f t="shared" si="4"/>
        <v>22</v>
      </c>
      <c r="AF30" s="2">
        <f>COUNTIF('출전기록 (25)'!W$2:AG$7,'2025 토탈'!X30)+Z30</f>
        <v>16</v>
      </c>
      <c r="AG30" s="2">
        <f>COUNTIF('출전기록 (25)'!AH$2:AL$7,'2025 토탈'!X30)+AA30</f>
        <v>6</v>
      </c>
      <c r="AH30" s="336">
        <f t="shared" si="5"/>
        <v>0</v>
      </c>
      <c r="AI30" s="337">
        <f t="shared" si="6"/>
        <v>1</v>
      </c>
      <c r="AJ30" s="338">
        <f t="shared" si="7"/>
        <v>1</v>
      </c>
    </row>
    <row r="31" spans="1:60">
      <c r="A31" s="246" t="s">
        <v>42</v>
      </c>
      <c r="B31" s="317">
        <v>45913</v>
      </c>
      <c r="C31" s="318" t="s">
        <v>43</v>
      </c>
      <c r="D31" s="266">
        <v>29</v>
      </c>
      <c r="E31" s="267" t="s">
        <v>155</v>
      </c>
      <c r="F31" s="266" t="s">
        <v>49</v>
      </c>
      <c r="G31" s="266">
        <v>4</v>
      </c>
      <c r="H31" s="266">
        <v>3</v>
      </c>
      <c r="I31" s="380" t="s">
        <v>31</v>
      </c>
      <c r="J31" s="374"/>
      <c r="K31" s="266"/>
      <c r="L31" s="269"/>
      <c r="M31" s="246" t="s">
        <v>114</v>
      </c>
      <c r="N31" s="270" t="s">
        <v>114</v>
      </c>
      <c r="O31" s="270" t="s">
        <v>171</v>
      </c>
      <c r="P31" s="271" t="s">
        <v>46</v>
      </c>
      <c r="Q31" s="272" t="s">
        <v>171</v>
      </c>
      <c r="R31" s="270"/>
      <c r="S31" s="270" t="s">
        <v>70</v>
      </c>
      <c r="T31" s="270" t="s">
        <v>63</v>
      </c>
      <c r="U31" s="273"/>
      <c r="V31" s="274" t="s">
        <v>141</v>
      </c>
      <c r="X31" s="329" t="s">
        <v>52</v>
      </c>
      <c r="Y31" s="297">
        <f t="shared" si="0"/>
        <v>24</v>
      </c>
      <c r="Z31" s="2">
        <f>COUNTIF('출전기록 (25)'!C$2:M$39,'2025 토탈'!X31)</f>
        <v>21</v>
      </c>
      <c r="AA31" s="2">
        <f>COUNTIF('출전기록 (25)'!N$2:S$39,'2025 토탈'!X31)</f>
        <v>3</v>
      </c>
      <c r="AB31" s="336">
        <f t="shared" si="1"/>
        <v>0</v>
      </c>
      <c r="AC31" s="337">
        <f t="shared" si="2"/>
        <v>3</v>
      </c>
      <c r="AD31" s="338">
        <f t="shared" si="3"/>
        <v>3</v>
      </c>
      <c r="AE31" s="297">
        <f t="shared" si="4"/>
        <v>24</v>
      </c>
      <c r="AF31" s="2">
        <f>COUNTIF('출전기록 (25)'!W$2:AG$7,'2025 토탈'!X31)+Z31</f>
        <v>21</v>
      </c>
      <c r="AG31" s="2">
        <f>COUNTIF('출전기록 (25)'!AH$2:AL$7,'2025 토탈'!X31)+AA31</f>
        <v>3</v>
      </c>
      <c r="AH31" s="336">
        <f t="shared" si="5"/>
        <v>0</v>
      </c>
      <c r="AI31" s="337">
        <f t="shared" si="6"/>
        <v>3</v>
      </c>
      <c r="AJ31" s="338">
        <f t="shared" si="7"/>
        <v>3</v>
      </c>
    </row>
    <row r="32" spans="1:60">
      <c r="A32" s="246" t="s">
        <v>42</v>
      </c>
      <c r="B32" s="317">
        <v>45920</v>
      </c>
      <c r="C32" s="318" t="s">
        <v>43</v>
      </c>
      <c r="D32" s="266">
        <v>30</v>
      </c>
      <c r="E32" s="267" t="s">
        <v>118</v>
      </c>
      <c r="F32" s="268" t="s">
        <v>45</v>
      </c>
      <c r="G32" s="266">
        <v>1</v>
      </c>
      <c r="H32" s="266">
        <v>2</v>
      </c>
      <c r="I32" s="380" t="s">
        <v>33</v>
      </c>
      <c r="J32" s="374"/>
      <c r="K32" s="266"/>
      <c r="L32" s="269"/>
      <c r="M32" s="246" t="s">
        <v>46</v>
      </c>
      <c r="N32" s="270"/>
      <c r="O32" s="270"/>
      <c r="P32" s="271"/>
      <c r="Q32" s="272"/>
      <c r="R32" s="270"/>
      <c r="S32" s="270"/>
      <c r="T32" s="270"/>
      <c r="U32" s="273">
        <v>10328</v>
      </c>
      <c r="V32" s="274" t="s">
        <v>169</v>
      </c>
      <c r="X32" s="329" t="s">
        <v>178</v>
      </c>
      <c r="Y32" s="297">
        <f t="shared" si="0"/>
        <v>3</v>
      </c>
      <c r="Z32" s="2">
        <f>COUNTIF('출전기록 (25)'!C$2:M$39,'2025 토탈'!X32)</f>
        <v>1</v>
      </c>
      <c r="AA32" s="2">
        <f>COUNTIF('출전기록 (25)'!N$2:S$39,'2025 토탈'!X32)</f>
        <v>2</v>
      </c>
      <c r="AB32" s="336">
        <f t="shared" si="1"/>
        <v>0</v>
      </c>
      <c r="AC32" s="337">
        <f t="shared" si="2"/>
        <v>0</v>
      </c>
      <c r="AD32" s="338">
        <f t="shared" si="3"/>
        <v>0</v>
      </c>
      <c r="AE32" s="297">
        <f t="shared" si="4"/>
        <v>6</v>
      </c>
      <c r="AF32" s="2">
        <f>COUNTIF('출전기록 (25)'!W$2:AG$7,'2025 토탈'!X32)+Z32</f>
        <v>4</v>
      </c>
      <c r="AG32" s="2">
        <f>COUNTIF('출전기록 (25)'!AH$2:AL$7,'2025 토탈'!X32)+AA32</f>
        <v>2</v>
      </c>
      <c r="AH32" s="336">
        <f t="shared" si="5"/>
        <v>0</v>
      </c>
      <c r="AI32" s="337">
        <f t="shared" si="6"/>
        <v>0</v>
      </c>
      <c r="AJ32" s="338">
        <f t="shared" si="7"/>
        <v>0</v>
      </c>
    </row>
    <row r="33" spans="1:36">
      <c r="A33" s="246" t="s">
        <v>42</v>
      </c>
      <c r="B33" s="317">
        <v>45928</v>
      </c>
      <c r="C33" s="318" t="s">
        <v>56</v>
      </c>
      <c r="D33" s="266">
        <v>31</v>
      </c>
      <c r="E33" s="267" t="s">
        <v>147</v>
      </c>
      <c r="F33" s="266" t="s">
        <v>49</v>
      </c>
      <c r="G33" s="266">
        <v>0</v>
      </c>
      <c r="H33" s="266">
        <v>0</v>
      </c>
      <c r="I33" s="380" t="s">
        <v>32</v>
      </c>
      <c r="J33" s="374"/>
      <c r="K33" s="266"/>
      <c r="L33" s="269"/>
      <c r="M33" s="246"/>
      <c r="N33" s="270"/>
      <c r="O33" s="270"/>
      <c r="P33" s="271"/>
      <c r="Q33" s="272"/>
      <c r="R33" s="270"/>
      <c r="S33" s="270"/>
      <c r="T33" s="270"/>
      <c r="U33" s="273"/>
      <c r="V33" s="274" t="s">
        <v>150</v>
      </c>
      <c r="X33" s="329" t="s">
        <v>99</v>
      </c>
      <c r="Y33" s="297">
        <f t="shared" si="0"/>
        <v>15</v>
      </c>
      <c r="Z33" s="2">
        <f>COUNTIF('출전기록 (25)'!C$2:M$39,'2025 토탈'!X33)</f>
        <v>5</v>
      </c>
      <c r="AA33" s="2">
        <f>COUNTIF('출전기록 (25)'!N$2:S$39,'2025 토탈'!X33)</f>
        <v>10</v>
      </c>
      <c r="AB33" s="336">
        <f t="shared" si="1"/>
        <v>0</v>
      </c>
      <c r="AC33" s="337">
        <f t="shared" si="2"/>
        <v>0</v>
      </c>
      <c r="AD33" s="338">
        <f t="shared" si="3"/>
        <v>0</v>
      </c>
      <c r="AE33" s="297">
        <f t="shared" si="4"/>
        <v>18</v>
      </c>
      <c r="AF33" s="2">
        <f>COUNTIF('출전기록 (25)'!W$2:AG$7,'2025 토탈'!X33)+Z33</f>
        <v>8</v>
      </c>
      <c r="AG33" s="2">
        <f>COUNTIF('출전기록 (25)'!AH$2:AL$7,'2025 토탈'!X33)+AA33</f>
        <v>10</v>
      </c>
      <c r="AH33" s="336">
        <f t="shared" si="5"/>
        <v>0</v>
      </c>
      <c r="AI33" s="337">
        <f t="shared" si="6"/>
        <v>0</v>
      </c>
      <c r="AJ33" s="338">
        <f t="shared" si="7"/>
        <v>0</v>
      </c>
    </row>
    <row r="34" spans="1:36">
      <c r="A34" s="246" t="s">
        <v>42</v>
      </c>
      <c r="B34" s="317">
        <v>45934</v>
      </c>
      <c r="C34" s="318" t="s">
        <v>43</v>
      </c>
      <c r="D34" s="266">
        <v>32</v>
      </c>
      <c r="E34" s="267" t="s">
        <v>151</v>
      </c>
      <c r="F34" s="266" t="s">
        <v>49</v>
      </c>
      <c r="G34" s="266">
        <v>1</v>
      </c>
      <c r="H34" s="266">
        <v>0</v>
      </c>
      <c r="I34" s="380" t="s">
        <v>31</v>
      </c>
      <c r="J34" s="374"/>
      <c r="K34" s="266"/>
      <c r="L34" s="269"/>
      <c r="M34" s="246" t="s">
        <v>54</v>
      </c>
      <c r="N34" s="270"/>
      <c r="O34" s="270"/>
      <c r="P34" s="271"/>
      <c r="Q34" s="272"/>
      <c r="R34" s="270"/>
      <c r="S34" s="270"/>
      <c r="T34" s="270"/>
      <c r="U34" s="273"/>
      <c r="V34" s="274" t="s">
        <v>167</v>
      </c>
      <c r="X34" s="330" t="s">
        <v>179</v>
      </c>
      <c r="Y34" s="297">
        <f t="shared" si="0"/>
        <v>30</v>
      </c>
      <c r="Z34" s="2">
        <f>COUNTIF('출전기록 (25)'!C$2:M$39,'2025 토탈'!X34)</f>
        <v>30</v>
      </c>
      <c r="AA34" s="2">
        <f>COUNTIF('출전기록 (25)'!N$2:S$39,'2025 토탈'!X34)</f>
        <v>0</v>
      </c>
      <c r="AB34" s="336">
        <f t="shared" si="1"/>
        <v>0</v>
      </c>
      <c r="AC34" s="337">
        <f t="shared" si="2"/>
        <v>0</v>
      </c>
      <c r="AD34" s="338">
        <f t="shared" si="3"/>
        <v>0</v>
      </c>
      <c r="AE34" s="297">
        <f t="shared" si="4"/>
        <v>30</v>
      </c>
      <c r="AF34" s="2">
        <f>COUNTIF('출전기록 (25)'!W$2:AG$7,'2025 토탈'!X34)+Z34</f>
        <v>30</v>
      </c>
      <c r="AG34" s="2">
        <f>COUNTIF('출전기록 (25)'!AH$2:AL$7,'2025 토탈'!X34)+AA34</f>
        <v>0</v>
      </c>
      <c r="AH34" s="336">
        <f t="shared" si="5"/>
        <v>0</v>
      </c>
      <c r="AI34" s="337">
        <f t="shared" si="6"/>
        <v>0</v>
      </c>
      <c r="AJ34" s="338">
        <f t="shared" si="7"/>
        <v>0</v>
      </c>
    </row>
    <row r="35" spans="1:36">
      <c r="A35" s="246" t="s">
        <v>42</v>
      </c>
      <c r="B35" s="317">
        <v>45938</v>
      </c>
      <c r="C35" s="318" t="s">
        <v>62</v>
      </c>
      <c r="D35" s="266">
        <v>33</v>
      </c>
      <c r="E35" s="267" t="s">
        <v>142</v>
      </c>
      <c r="F35" s="268" t="s">
        <v>45</v>
      </c>
      <c r="G35" s="266">
        <v>1</v>
      </c>
      <c r="H35" s="266">
        <v>1</v>
      </c>
      <c r="I35" s="380" t="s">
        <v>32</v>
      </c>
      <c r="J35" s="374"/>
      <c r="K35" s="266"/>
      <c r="L35" s="269"/>
      <c r="M35" s="246" t="s">
        <v>46</v>
      </c>
      <c r="N35" s="270"/>
      <c r="O35" s="270"/>
      <c r="P35" s="271"/>
      <c r="Q35" s="272" t="s">
        <v>73</v>
      </c>
      <c r="R35" s="270"/>
      <c r="S35" s="270"/>
      <c r="T35" s="270"/>
      <c r="U35" s="273">
        <v>18134</v>
      </c>
      <c r="V35" s="274" t="s">
        <v>76</v>
      </c>
      <c r="X35" s="330" t="s">
        <v>107</v>
      </c>
      <c r="Y35" s="297">
        <f t="shared" si="0"/>
        <v>6</v>
      </c>
      <c r="Z35" s="2">
        <f>COUNTIF('출전기록 (25)'!C$2:M$39,'2025 토탈'!X35)</f>
        <v>6</v>
      </c>
      <c r="AA35" s="2">
        <f>COUNTIF('출전기록 (25)'!N$2:S$39,'2025 토탈'!X35)</f>
        <v>0</v>
      </c>
      <c r="AB35" s="336">
        <f t="shared" si="1"/>
        <v>0</v>
      </c>
      <c r="AC35" s="337">
        <f t="shared" si="2"/>
        <v>0</v>
      </c>
      <c r="AD35" s="338">
        <f t="shared" si="3"/>
        <v>0</v>
      </c>
      <c r="AE35" s="297">
        <f t="shared" si="4"/>
        <v>6</v>
      </c>
      <c r="AF35" s="2">
        <f>COUNTIF('출전기록 (25)'!W$2:AG$7,'2025 토탈'!X35)+Z35</f>
        <v>6</v>
      </c>
      <c r="AG35" s="2">
        <f>COUNTIF('출전기록 (25)'!AH$2:AL$7,'2025 토탈'!X35)+AA35</f>
        <v>0</v>
      </c>
      <c r="AH35" s="336">
        <f t="shared" si="5"/>
        <v>0</v>
      </c>
      <c r="AI35" s="337">
        <f t="shared" si="6"/>
        <v>0</v>
      </c>
      <c r="AJ35" s="338">
        <f t="shared" si="7"/>
        <v>0</v>
      </c>
    </row>
    <row r="36" spans="1:36">
      <c r="A36" s="246" t="s">
        <v>42</v>
      </c>
      <c r="B36" s="317">
        <v>45942</v>
      </c>
      <c r="C36" s="318" t="s">
        <v>56</v>
      </c>
      <c r="D36" s="266">
        <v>34</v>
      </c>
      <c r="E36" s="267" t="s">
        <v>145</v>
      </c>
      <c r="F36" s="266" t="s">
        <v>49</v>
      </c>
      <c r="G36" s="266">
        <v>2</v>
      </c>
      <c r="H36" s="266">
        <v>2</v>
      </c>
      <c r="I36" s="380" t="s">
        <v>32</v>
      </c>
      <c r="J36" s="374"/>
      <c r="K36" s="266"/>
      <c r="L36" s="269"/>
      <c r="M36" s="246" t="s">
        <v>97</v>
      </c>
      <c r="N36" s="270" t="s">
        <v>54</v>
      </c>
      <c r="O36" s="270"/>
      <c r="P36" s="271"/>
      <c r="Q36" s="272" t="s">
        <v>63</v>
      </c>
      <c r="R36" s="270"/>
      <c r="S36" s="270"/>
      <c r="T36" s="270"/>
      <c r="U36" s="273"/>
      <c r="V36" s="274" t="s">
        <v>150</v>
      </c>
      <c r="X36" s="330" t="s">
        <v>180</v>
      </c>
      <c r="Y36" s="297">
        <f t="shared" si="0"/>
        <v>1</v>
      </c>
      <c r="Z36" s="2">
        <f>COUNTIF('출전기록 (25)'!C$2:M$39,'2025 토탈'!X36)</f>
        <v>1</v>
      </c>
      <c r="AA36" s="2">
        <f>COUNTIF('출전기록 (25)'!N$2:S$39,'2025 토탈'!X36)</f>
        <v>0</v>
      </c>
      <c r="AB36" s="336">
        <f t="shared" si="1"/>
        <v>0</v>
      </c>
      <c r="AC36" s="337">
        <f t="shared" si="2"/>
        <v>0</v>
      </c>
      <c r="AD36" s="338">
        <f t="shared" si="3"/>
        <v>0</v>
      </c>
      <c r="AE36" s="297">
        <f t="shared" si="4"/>
        <v>1</v>
      </c>
      <c r="AF36" s="2">
        <f>COUNTIF('출전기록 (25)'!W$2:AG$7,'2025 토탈'!X36)+Z36</f>
        <v>1</v>
      </c>
      <c r="AG36" s="2">
        <f>COUNTIF('출전기록 (25)'!AH$2:AL$7,'2025 토탈'!X36)+AA36</f>
        <v>0</v>
      </c>
      <c r="AH36" s="336">
        <f t="shared" si="5"/>
        <v>0</v>
      </c>
      <c r="AI36" s="337">
        <f t="shared" si="6"/>
        <v>0</v>
      </c>
      <c r="AJ36" s="338">
        <f t="shared" si="7"/>
        <v>0</v>
      </c>
    </row>
    <row r="37" spans="1:36">
      <c r="A37" s="246" t="s">
        <v>42</v>
      </c>
      <c r="B37" s="317">
        <v>45949</v>
      </c>
      <c r="C37" s="318" t="s">
        <v>56</v>
      </c>
      <c r="D37" s="266">
        <v>35</v>
      </c>
      <c r="E37" s="267" t="s">
        <v>161</v>
      </c>
      <c r="F37" s="266" t="s">
        <v>49</v>
      </c>
      <c r="G37" s="266">
        <v>1</v>
      </c>
      <c r="H37" s="266">
        <v>0</v>
      </c>
      <c r="I37" s="380" t="s">
        <v>31</v>
      </c>
      <c r="J37" s="374"/>
      <c r="K37" s="266"/>
      <c r="L37" s="269"/>
      <c r="M37" s="246" t="s">
        <v>70</v>
      </c>
      <c r="N37" s="270"/>
      <c r="O37" s="270"/>
      <c r="P37" s="271"/>
      <c r="Q37" s="272" t="s">
        <v>171</v>
      </c>
      <c r="R37" s="270"/>
      <c r="S37" s="270"/>
      <c r="T37" s="270"/>
      <c r="U37" s="273"/>
      <c r="V37" s="274" t="s">
        <v>157</v>
      </c>
      <c r="X37" s="330" t="s">
        <v>181</v>
      </c>
      <c r="Y37" s="297">
        <f t="shared" si="0"/>
        <v>0</v>
      </c>
      <c r="Z37" s="2">
        <f>COUNTIF('출전기록 (25)'!C$2:M$39,'2025 토탈'!X37)</f>
        <v>0</v>
      </c>
      <c r="AA37" s="2">
        <f>COUNTIF('출전기록 (25)'!N$2:S$39,'2025 토탈'!X37)</f>
        <v>0</v>
      </c>
      <c r="AB37" s="336">
        <f t="shared" si="1"/>
        <v>0</v>
      </c>
      <c r="AC37" s="337">
        <f t="shared" si="2"/>
        <v>0</v>
      </c>
      <c r="AD37" s="338">
        <f t="shared" si="3"/>
        <v>0</v>
      </c>
      <c r="AE37" s="297">
        <f t="shared" si="4"/>
        <v>2</v>
      </c>
      <c r="AF37" s="2">
        <f>COUNTIF('출전기록 (25)'!W$2:AG$7,'2025 토탈'!X37)+Z37</f>
        <v>2</v>
      </c>
      <c r="AG37" s="2">
        <f>COUNTIF('출전기록 (25)'!AH$2:AL$7,'2025 토탈'!X37)+AA37</f>
        <v>0</v>
      </c>
      <c r="AH37" s="336">
        <f t="shared" si="5"/>
        <v>0</v>
      </c>
      <c r="AI37" s="337">
        <f t="shared" si="6"/>
        <v>0</v>
      </c>
      <c r="AJ37" s="338">
        <f t="shared" si="7"/>
        <v>0</v>
      </c>
    </row>
    <row r="38" spans="1:36" ht="17.5" customHeight="1" thickBot="1">
      <c r="A38" s="246" t="s">
        <v>42</v>
      </c>
      <c r="B38" s="317">
        <v>45956</v>
      </c>
      <c r="C38" s="318" t="s">
        <v>56</v>
      </c>
      <c r="D38" s="266">
        <v>36</v>
      </c>
      <c r="E38" s="267" t="s">
        <v>139</v>
      </c>
      <c r="F38" s="268" t="s">
        <v>45</v>
      </c>
      <c r="G38" s="266">
        <v>3</v>
      </c>
      <c r="H38" s="266">
        <v>0</v>
      </c>
      <c r="I38" s="380" t="s">
        <v>31</v>
      </c>
      <c r="J38" s="374"/>
      <c r="K38" s="266"/>
      <c r="L38" s="269"/>
      <c r="M38" s="275" t="s">
        <v>70</v>
      </c>
      <c r="N38" s="270" t="s">
        <v>46</v>
      </c>
      <c r="O38" s="270" t="s">
        <v>140</v>
      </c>
      <c r="P38" s="271"/>
      <c r="Q38" s="272"/>
      <c r="R38" s="270" t="s">
        <v>73</v>
      </c>
      <c r="S38" s="270"/>
      <c r="T38" s="270"/>
      <c r="U38" s="273">
        <v>11156</v>
      </c>
      <c r="V38" s="274" t="s">
        <v>173</v>
      </c>
      <c r="X38" s="331" t="s">
        <v>109</v>
      </c>
      <c r="Y38" s="299">
        <f t="shared" si="0"/>
        <v>0</v>
      </c>
      <c r="Z38" s="146">
        <f>COUNTIF('출전기록 (25)'!C$2:M$39,'2025 토탈'!X38)</f>
        <v>0</v>
      </c>
      <c r="AA38" s="146">
        <f>COUNTIF('출전기록 (25)'!N$2:S$39,'2025 토탈'!X38)</f>
        <v>0</v>
      </c>
      <c r="AB38" s="339">
        <f t="shared" si="1"/>
        <v>0</v>
      </c>
      <c r="AC38" s="340">
        <f t="shared" si="2"/>
        <v>0</v>
      </c>
      <c r="AD38" s="341">
        <f t="shared" si="3"/>
        <v>0</v>
      </c>
      <c r="AE38" s="299">
        <f t="shared" si="4"/>
        <v>1</v>
      </c>
      <c r="AF38" s="146">
        <f>COUNTIF('출전기록 (25)'!W$2:AG$7,'2025 토탈'!X38)+Z38</f>
        <v>1</v>
      </c>
      <c r="AG38" s="146">
        <f>COUNTIF('출전기록 (25)'!AH$2:AL$7,'2025 토탈'!X38)+AA38</f>
        <v>0</v>
      </c>
      <c r="AH38" s="339">
        <f t="shared" si="5"/>
        <v>0</v>
      </c>
      <c r="AI38" s="340">
        <f t="shared" si="6"/>
        <v>0</v>
      </c>
      <c r="AJ38" s="341">
        <f t="shared" si="7"/>
        <v>0</v>
      </c>
    </row>
    <row r="39" spans="1:36">
      <c r="A39" s="246" t="s">
        <v>42</v>
      </c>
      <c r="B39" s="317">
        <v>45963</v>
      </c>
      <c r="C39" s="318" t="s">
        <v>56</v>
      </c>
      <c r="D39" s="266">
        <v>37</v>
      </c>
      <c r="E39" s="267" t="s">
        <v>149</v>
      </c>
      <c r="F39" s="268" t="s">
        <v>45</v>
      </c>
      <c r="G39" s="266">
        <v>0</v>
      </c>
      <c r="H39" s="266">
        <v>0</v>
      </c>
      <c r="I39" s="380" t="s">
        <v>32</v>
      </c>
      <c r="J39" s="374"/>
      <c r="K39" s="266"/>
      <c r="L39" s="269"/>
      <c r="M39" s="246"/>
      <c r="N39" s="270"/>
      <c r="O39" s="270"/>
      <c r="P39" s="271"/>
      <c r="Q39" s="272"/>
      <c r="R39" s="270"/>
      <c r="S39" s="270"/>
      <c r="T39" s="270"/>
      <c r="U39" s="276">
        <v>7058</v>
      </c>
      <c r="V39" s="277" t="s">
        <v>74</v>
      </c>
      <c r="X39" s="356" t="s">
        <v>182</v>
      </c>
      <c r="Y39" s="297">
        <f t="shared" si="0"/>
        <v>1</v>
      </c>
      <c r="Z39" s="2">
        <f>COUNTIF('출전기록 (25)'!C$2:M$39,'2025 토탈'!X39)</f>
        <v>0</v>
      </c>
      <c r="AA39" s="2">
        <f>COUNTIF('출전기록 (25)'!N$2:S$39,'2025 토탈'!X39)</f>
        <v>1</v>
      </c>
      <c r="AB39" s="336">
        <f t="shared" si="1"/>
        <v>0</v>
      </c>
      <c r="AC39" s="337">
        <f t="shared" si="2"/>
        <v>0</v>
      </c>
      <c r="AD39" s="338">
        <f t="shared" si="3"/>
        <v>0</v>
      </c>
      <c r="AE39" s="297">
        <f t="shared" si="4"/>
        <v>4</v>
      </c>
      <c r="AF39" s="2">
        <f>COUNTIF('출전기록 (25)'!W$2:AG$7,'2025 토탈'!X39)+Z39</f>
        <v>1</v>
      </c>
      <c r="AG39" s="132">
        <f>COUNTIF('출전기록 (25)'!AH$2:AM$7,'2025 토탈'!X39)+AA39</f>
        <v>3</v>
      </c>
      <c r="AH39" s="336">
        <f t="shared" si="5"/>
        <v>1</v>
      </c>
      <c r="AI39" s="337">
        <f t="shared" si="6"/>
        <v>0</v>
      </c>
      <c r="AJ39" s="338">
        <f t="shared" si="7"/>
        <v>1</v>
      </c>
    </row>
    <row r="40" spans="1:36">
      <c r="A40" s="247" t="s">
        <v>42</v>
      </c>
      <c r="B40" s="317">
        <v>45969</v>
      </c>
      <c r="C40" s="318" t="s">
        <v>43</v>
      </c>
      <c r="D40" s="278">
        <v>38</v>
      </c>
      <c r="E40" s="279" t="s">
        <v>164</v>
      </c>
      <c r="F40" s="278" t="s">
        <v>49</v>
      </c>
      <c r="G40" s="278">
        <v>1</v>
      </c>
      <c r="H40" s="278">
        <v>2</v>
      </c>
      <c r="I40" s="382" t="s">
        <v>33</v>
      </c>
      <c r="J40" s="376"/>
      <c r="K40" s="278"/>
      <c r="L40" s="280"/>
      <c r="M40" s="246" t="s">
        <v>114</v>
      </c>
      <c r="N40" s="270"/>
      <c r="O40" s="270"/>
      <c r="P40" s="271"/>
      <c r="Q40" s="282" t="s">
        <v>143</v>
      </c>
      <c r="R40" s="281"/>
      <c r="S40" s="281"/>
      <c r="T40" s="281"/>
      <c r="U40" s="395"/>
      <c r="V40" s="274" t="s">
        <v>58</v>
      </c>
      <c r="X40" s="356" t="s">
        <v>183</v>
      </c>
      <c r="Y40" s="297">
        <f t="shared" si="0"/>
        <v>0</v>
      </c>
      <c r="Z40" s="2">
        <f>COUNTIF('출전기록 (25)'!C$2:M$39,'2025 토탈'!X40)</f>
        <v>0</v>
      </c>
      <c r="AA40" s="2">
        <f>COUNTIF('출전기록 (25)'!N$2:S$39,'2025 토탈'!X40)</f>
        <v>0</v>
      </c>
      <c r="AB40" s="336">
        <f t="shared" si="1"/>
        <v>0</v>
      </c>
      <c r="AC40" s="337">
        <f t="shared" si="2"/>
        <v>0</v>
      </c>
      <c r="AD40" s="338">
        <f t="shared" si="3"/>
        <v>0</v>
      </c>
      <c r="AE40" s="297">
        <f t="shared" si="4"/>
        <v>1</v>
      </c>
      <c r="AF40" s="2">
        <f>COUNTIF('출전기록 (25)'!W$2:AG$7,'2025 토탈'!X40)+Z40</f>
        <v>0</v>
      </c>
      <c r="AG40" s="132">
        <f>COUNTIF('출전기록 (25)'!AH$2:AM$7,'2025 토탈'!X40)+AA40</f>
        <v>1</v>
      </c>
      <c r="AH40" s="336">
        <f t="shared" si="5"/>
        <v>0</v>
      </c>
      <c r="AI40" s="337">
        <f t="shared" si="6"/>
        <v>0</v>
      </c>
      <c r="AJ40" s="338">
        <f t="shared" si="7"/>
        <v>0</v>
      </c>
    </row>
    <row r="41" spans="1:36" ht="17.5" customHeight="1" thickBot="1">
      <c r="A41" s="383" t="s">
        <v>42</v>
      </c>
      <c r="B41" s="324">
        <v>45984</v>
      </c>
      <c r="C41" s="325" t="s">
        <v>56</v>
      </c>
      <c r="D41" s="384">
        <v>39</v>
      </c>
      <c r="E41" s="385" t="s">
        <v>153</v>
      </c>
      <c r="F41" s="386" t="s">
        <v>45</v>
      </c>
      <c r="G41" s="384">
        <v>0</v>
      </c>
      <c r="H41" s="384">
        <v>1</v>
      </c>
      <c r="I41" s="387" t="s">
        <v>33</v>
      </c>
      <c r="J41" s="376"/>
      <c r="K41" s="278"/>
      <c r="L41" s="280"/>
      <c r="M41" s="247"/>
      <c r="N41" s="281"/>
      <c r="O41" s="281"/>
      <c r="P41" s="391"/>
      <c r="Q41" s="282"/>
      <c r="R41" s="281"/>
      <c r="S41" s="281"/>
      <c r="T41" s="281"/>
      <c r="U41" s="394">
        <v>12102</v>
      </c>
      <c r="V41" s="316" t="s">
        <v>167</v>
      </c>
      <c r="X41" s="356" t="s">
        <v>111</v>
      </c>
      <c r="Y41" s="297">
        <f t="shared" si="0"/>
        <v>0</v>
      </c>
      <c r="Z41" s="2">
        <f>COUNTIF('출전기록 (25)'!C$2:M$39,'2025 토탈'!X41)</f>
        <v>0</v>
      </c>
      <c r="AA41" s="2">
        <f>COUNTIF('출전기록 (25)'!N$2:S$39,'2025 토탈'!X41)</f>
        <v>0</v>
      </c>
      <c r="AB41" s="336">
        <f t="shared" si="1"/>
        <v>0</v>
      </c>
      <c r="AC41" s="337">
        <f t="shared" si="2"/>
        <v>0</v>
      </c>
      <c r="AD41" s="338">
        <f t="shared" si="3"/>
        <v>0</v>
      </c>
      <c r="AE41" s="297">
        <f t="shared" si="4"/>
        <v>3</v>
      </c>
      <c r="AF41" s="2">
        <f>COUNTIF('출전기록 (25)'!W$2:AG$7,'2025 토탈'!X41)+Z41</f>
        <v>0</v>
      </c>
      <c r="AG41" s="2">
        <f>COUNTIF('출전기록 (25)'!AH$2:AL$7,'2025 토탈'!X41)+AA41</f>
        <v>3</v>
      </c>
      <c r="AH41" s="336">
        <f t="shared" si="5"/>
        <v>0</v>
      </c>
      <c r="AI41" s="337">
        <f t="shared" si="6"/>
        <v>1</v>
      </c>
      <c r="AJ41" s="338">
        <f t="shared" si="7"/>
        <v>1</v>
      </c>
    </row>
    <row r="42" spans="1:36">
      <c r="A42" s="377" t="s">
        <v>115</v>
      </c>
      <c r="B42" s="371">
        <v>45739</v>
      </c>
      <c r="C42" s="372" t="s">
        <v>56</v>
      </c>
      <c r="D42" s="378" t="s">
        <v>184</v>
      </c>
      <c r="E42" s="378" t="s">
        <v>185</v>
      </c>
      <c r="F42" s="378" t="s">
        <v>45</v>
      </c>
      <c r="G42" s="378">
        <v>3</v>
      </c>
      <c r="H42" s="378">
        <v>0</v>
      </c>
      <c r="I42" s="378" t="s">
        <v>31</v>
      </c>
      <c r="J42" s="310"/>
      <c r="K42" s="310"/>
      <c r="L42" s="359"/>
      <c r="M42" s="392" t="s">
        <v>114</v>
      </c>
      <c r="N42" s="311" t="s">
        <v>114</v>
      </c>
      <c r="O42" s="311" t="s">
        <v>93</v>
      </c>
      <c r="P42" s="393"/>
      <c r="Q42" s="362" t="s">
        <v>156</v>
      </c>
      <c r="R42" s="311" t="s">
        <v>156</v>
      </c>
      <c r="S42" s="311"/>
      <c r="T42" s="311"/>
      <c r="U42" s="322"/>
      <c r="V42" s="323" t="s">
        <v>186</v>
      </c>
      <c r="X42" s="356" t="s">
        <v>112</v>
      </c>
      <c r="Y42" s="297">
        <f t="shared" si="0"/>
        <v>12</v>
      </c>
      <c r="Z42" s="2">
        <f>COUNTIF('출전기록 (25)'!C$2:M$39,'2025 토탈'!X42)</f>
        <v>9</v>
      </c>
      <c r="AA42" s="2">
        <f>COUNTIF('출전기록 (25)'!N$2:S$39,'2025 토탈'!X42)</f>
        <v>3</v>
      </c>
      <c r="AB42" s="336">
        <f t="shared" si="1"/>
        <v>0</v>
      </c>
      <c r="AC42" s="337">
        <f t="shared" si="2"/>
        <v>0</v>
      </c>
      <c r="AD42" s="338">
        <f t="shared" si="3"/>
        <v>0</v>
      </c>
      <c r="AE42" s="297">
        <f t="shared" si="4"/>
        <v>13</v>
      </c>
      <c r="AF42" s="2">
        <f>COUNTIF('출전기록 (25)'!W$2:AG$7,'2025 토탈'!X42)+Z42</f>
        <v>10</v>
      </c>
      <c r="AG42" s="2">
        <f>COUNTIF('출전기록 (25)'!AH$2:AL$7,'2025 토탈'!X42)+AA42</f>
        <v>3</v>
      </c>
      <c r="AH42" s="336">
        <f t="shared" si="5"/>
        <v>0</v>
      </c>
      <c r="AI42" s="337">
        <f t="shared" si="6"/>
        <v>0</v>
      </c>
      <c r="AJ42" s="338">
        <f t="shared" si="7"/>
        <v>0</v>
      </c>
    </row>
    <row r="43" spans="1:36">
      <c r="A43" s="110" t="s">
        <v>115</v>
      </c>
      <c r="B43" s="317">
        <v>45763</v>
      </c>
      <c r="C43" s="318" t="s">
        <v>62</v>
      </c>
      <c r="D43" s="319" t="s">
        <v>117</v>
      </c>
      <c r="E43" s="319" t="s">
        <v>187</v>
      </c>
      <c r="F43" s="319" t="s">
        <v>45</v>
      </c>
      <c r="G43" s="319">
        <v>2</v>
      </c>
      <c r="H43" s="319">
        <v>1</v>
      </c>
      <c r="I43" s="319" t="s">
        <v>31</v>
      </c>
      <c r="J43" s="319"/>
      <c r="K43" s="319"/>
      <c r="L43" s="360"/>
      <c r="M43" s="367" t="s">
        <v>87</v>
      </c>
      <c r="N43" s="320" t="s">
        <v>182</v>
      </c>
      <c r="O43" s="320"/>
      <c r="P43" s="368"/>
      <c r="Q43" s="363" t="s">
        <v>143</v>
      </c>
      <c r="R43" s="320" t="s">
        <v>111</v>
      </c>
      <c r="S43" s="320"/>
      <c r="T43" s="320"/>
      <c r="U43" s="321">
        <v>2303</v>
      </c>
      <c r="V43" s="312" t="s">
        <v>188</v>
      </c>
      <c r="X43" s="357" t="s">
        <v>189</v>
      </c>
      <c r="Y43" s="297">
        <f t="shared" si="0"/>
        <v>0</v>
      </c>
      <c r="Z43" s="2">
        <f>COUNTIF('출전기록 (25)'!C$2:M$39,'2025 토탈'!X43)</f>
        <v>0</v>
      </c>
      <c r="AA43" s="2">
        <f>COUNTIF('출전기록 (25)'!N$2:S$39,'2025 토탈'!X43)</f>
        <v>0</v>
      </c>
      <c r="AB43" s="336">
        <f t="shared" si="1"/>
        <v>0</v>
      </c>
      <c r="AC43" s="337">
        <f t="shared" si="2"/>
        <v>0</v>
      </c>
      <c r="AD43" s="338">
        <f t="shared" si="3"/>
        <v>0</v>
      </c>
      <c r="AE43" s="297">
        <f t="shared" si="4"/>
        <v>3</v>
      </c>
      <c r="AF43" s="2">
        <f>COUNTIF('출전기록 (25)'!W$2:AG$7,'2025 토탈'!X43)+Z43</f>
        <v>2</v>
      </c>
      <c r="AG43" s="2">
        <f>COUNTIF('출전기록 (25)'!AH$2:AL$7,'2025 토탈'!X43)+AA43</f>
        <v>1</v>
      </c>
      <c r="AH43" s="336">
        <f t="shared" si="5"/>
        <v>0</v>
      </c>
      <c r="AI43" s="337">
        <f t="shared" si="6"/>
        <v>0</v>
      </c>
      <c r="AJ43" s="338">
        <f t="shared" si="7"/>
        <v>0</v>
      </c>
    </row>
    <row r="44" spans="1:36">
      <c r="A44" s="110" t="s">
        <v>115</v>
      </c>
      <c r="B44" s="317">
        <v>45791</v>
      </c>
      <c r="C44" s="318" t="s">
        <v>62</v>
      </c>
      <c r="D44" s="319" t="s">
        <v>128</v>
      </c>
      <c r="E44" s="319" t="s">
        <v>55</v>
      </c>
      <c r="F44" s="319" t="s">
        <v>49</v>
      </c>
      <c r="G44" s="319">
        <v>0</v>
      </c>
      <c r="H44" s="319">
        <v>3</v>
      </c>
      <c r="I44" s="319" t="s">
        <v>33</v>
      </c>
      <c r="J44" s="319"/>
      <c r="K44" s="319"/>
      <c r="L44" s="360"/>
      <c r="M44" s="367"/>
      <c r="N44" s="320"/>
      <c r="O44" s="320"/>
      <c r="P44" s="368"/>
      <c r="Q44" s="363"/>
      <c r="R44" s="320"/>
      <c r="S44" s="320"/>
      <c r="T44" s="320"/>
      <c r="U44" s="321"/>
      <c r="V44" s="312" t="s">
        <v>119</v>
      </c>
    </row>
    <row r="45" spans="1:36">
      <c r="A45" s="110" t="s">
        <v>115</v>
      </c>
      <c r="B45" s="317"/>
      <c r="C45" s="318"/>
      <c r="D45" s="319"/>
      <c r="E45" s="319"/>
      <c r="F45" s="319"/>
      <c r="G45" s="319"/>
      <c r="H45" s="319"/>
      <c r="I45" s="319"/>
      <c r="J45" s="319"/>
      <c r="K45" s="319"/>
      <c r="L45" s="360"/>
      <c r="M45" s="367"/>
      <c r="N45" s="320"/>
      <c r="O45" s="320"/>
      <c r="P45" s="368"/>
      <c r="Q45" s="363"/>
      <c r="R45" s="320"/>
      <c r="S45" s="320"/>
      <c r="T45" s="320"/>
      <c r="U45" s="321"/>
      <c r="V45" s="312"/>
    </row>
    <row r="46" spans="1:36" ht="17.5" customHeight="1" thickBot="1">
      <c r="A46" s="100" t="s">
        <v>115</v>
      </c>
      <c r="B46" s="324"/>
      <c r="C46" s="325"/>
      <c r="D46" s="313"/>
      <c r="E46" s="313"/>
      <c r="F46" s="313"/>
      <c r="G46" s="313"/>
      <c r="H46" s="313"/>
      <c r="I46" s="313"/>
      <c r="J46" s="313"/>
      <c r="K46" s="313"/>
      <c r="L46" s="361"/>
      <c r="M46" s="369"/>
      <c r="N46" s="314"/>
      <c r="O46" s="314"/>
      <c r="P46" s="370"/>
      <c r="Q46" s="364"/>
      <c r="R46" s="314"/>
      <c r="S46" s="314"/>
      <c r="T46" s="314"/>
      <c r="U46" s="326"/>
      <c r="V46" s="315"/>
    </row>
    <row r="47" spans="1:36">
      <c r="N47" t="s">
        <v>121</v>
      </c>
      <c r="O47" s="213"/>
      <c r="Q47" t="s">
        <v>190</v>
      </c>
    </row>
    <row r="48" spans="1:36">
      <c r="M48" s="352" t="s">
        <v>2</v>
      </c>
      <c r="N48" s="352" t="s">
        <v>122</v>
      </c>
      <c r="O48" s="352" t="s">
        <v>123</v>
      </c>
      <c r="P48" s="352" t="s">
        <v>124</v>
      </c>
      <c r="Q48" s="352" t="s">
        <v>122</v>
      </c>
      <c r="R48" s="352" t="s">
        <v>123</v>
      </c>
      <c r="S48" s="352" t="s">
        <v>124</v>
      </c>
      <c r="T48" s="352" t="s">
        <v>125</v>
      </c>
    </row>
    <row r="49" spans="13:20">
      <c r="M49" s="2" t="s">
        <v>42</v>
      </c>
      <c r="N49" s="2">
        <f>COUNT(U3:U41)</f>
        <v>19</v>
      </c>
      <c r="O49" s="96">
        <f>SUMIFS(U3:U46,A3:A46,M49)</f>
        <v>193302</v>
      </c>
      <c r="P49" s="96">
        <f>O49/N49</f>
        <v>10173.78947368421</v>
      </c>
      <c r="Q49" s="136">
        <v>19</v>
      </c>
      <c r="R49" s="136">
        <v>208045</v>
      </c>
      <c r="S49" s="137">
        <v>10949.73684210526</v>
      </c>
      <c r="T49" s="165">
        <f>(P49-S49)/S49</f>
        <v>-7.0864476435386334E-2</v>
      </c>
    </row>
    <row r="50" spans="13:20">
      <c r="M50" s="2" t="s">
        <v>115</v>
      </c>
      <c r="N50" s="2">
        <f>COUNT(U41:U45)</f>
        <v>2</v>
      </c>
      <c r="O50" s="96">
        <f>SUMIFS(U3:U46,A3:A46,M50)</f>
        <v>2303</v>
      </c>
      <c r="P50" s="96">
        <f>O50/N50</f>
        <v>1151.5</v>
      </c>
      <c r="Q50" s="136">
        <v>2</v>
      </c>
      <c r="R50" s="136">
        <v>4421</v>
      </c>
      <c r="S50" s="137">
        <v>2210.5</v>
      </c>
      <c r="T50" s="165">
        <f>(P50-S50)/S50</f>
        <v>-0.47907713187061751</v>
      </c>
    </row>
    <row r="51" spans="13:20">
      <c r="M51" s="352" t="s">
        <v>60</v>
      </c>
      <c r="N51" s="352">
        <f>SUM(N49:N50)</f>
        <v>21</v>
      </c>
      <c r="O51" s="388">
        <f>SUM(O49:O50)</f>
        <v>195605</v>
      </c>
      <c r="P51" s="389">
        <f>O51/N51</f>
        <v>9314.5238095238092</v>
      </c>
    </row>
  </sheetData>
  <phoneticPr fontId="3" type="noConversion"/>
  <conditionalFormatting sqref="S3:U41">
    <cfRule type="dataBar" priority="47">
      <dataBar>
        <cfvo type="min"/>
        <cfvo type="max"/>
        <color theme="0" tint="-0.499984740745262"/>
      </dataBar>
    </cfRule>
  </conditionalFormatting>
  <conditionalFormatting sqref="U3:V41">
    <cfRule type="dataBar" priority="49">
      <dataBar>
        <cfvo type="min"/>
        <cfvo type="max"/>
        <color theme="1" tint="0.499984740745262"/>
      </dataBar>
    </cfRule>
  </conditionalFormatting>
  <conditionalFormatting sqref="U44:V45 V41:V43">
    <cfRule type="top10" dxfId="74" priority="19" percent="1" bottom="1" rank="10"/>
    <cfRule type="dataBar" priority="20">
      <dataBar>
        <cfvo type="min"/>
        <cfvo type="max"/>
        <color theme="1"/>
      </dataBar>
    </cfRule>
  </conditionalFormatting>
  <conditionalFormatting sqref="AS7:AS19">
    <cfRule type="cellIs" dxfId="73" priority="10" operator="greaterThan">
      <formula>0.5</formula>
    </cfRule>
  </conditionalFormatting>
  <conditionalFormatting sqref="BF3:BF7">
    <cfRule type="top10" dxfId="72" priority="15" percent="1" rank="5"/>
  </conditionalFormatting>
  <conditionalFormatting sqref="BF3:BF9">
    <cfRule type="top10" dxfId="71" priority="5" percent="1" rank="1"/>
    <cfRule type="top10" priority="6" percent="1" rank="1"/>
  </conditionalFormatting>
  <conditionalFormatting sqref="BF8:BF22">
    <cfRule type="top10" dxfId="70" priority="44" percent="1" rank="5"/>
  </conditionalFormatting>
  <conditionalFormatting sqref="BH3:BH7">
    <cfRule type="aboveAverage" dxfId="69" priority="13"/>
    <cfRule type="top10" dxfId="68" priority="14" percent="1" rank="10"/>
  </conditionalFormatting>
  <conditionalFormatting sqref="BH8:BH22">
    <cfRule type="aboveAverage" dxfId="67" priority="45"/>
    <cfRule type="top10" dxfId="66" priority="46" percent="1" rank="10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0"/>
  <sheetViews>
    <sheetView topLeftCell="A29" workbookViewId="0">
      <selection activeCell="E38" sqref="E38"/>
    </sheetView>
  </sheetViews>
  <sheetFormatPr defaultRowHeight="17"/>
  <cols>
    <col min="2" max="2" width="9" style="452" bestFit="1" customWidth="1"/>
  </cols>
  <sheetData>
    <row r="1" spans="1:39">
      <c r="A1" s="292" t="s">
        <v>0</v>
      </c>
      <c r="B1" s="293" t="s">
        <v>6</v>
      </c>
      <c r="C1" s="294" t="s">
        <v>26</v>
      </c>
      <c r="D1" s="295" t="s">
        <v>26</v>
      </c>
      <c r="E1" s="295" t="s">
        <v>26</v>
      </c>
      <c r="F1" s="295" t="s">
        <v>26</v>
      </c>
      <c r="G1" s="295" t="s">
        <v>26</v>
      </c>
      <c r="H1" s="295" t="s">
        <v>26</v>
      </c>
      <c r="I1" s="295" t="s">
        <v>26</v>
      </c>
      <c r="J1" s="295" t="s">
        <v>26</v>
      </c>
      <c r="K1" s="295" t="s">
        <v>26</v>
      </c>
      <c r="L1" s="295" t="s">
        <v>26</v>
      </c>
      <c r="M1" s="296" t="s">
        <v>26</v>
      </c>
      <c r="N1" s="294" t="s">
        <v>27</v>
      </c>
      <c r="O1" s="295" t="s">
        <v>27</v>
      </c>
      <c r="P1" s="295" t="s">
        <v>27</v>
      </c>
      <c r="Q1" s="295" t="s">
        <v>27</v>
      </c>
      <c r="R1" s="295" t="s">
        <v>27</v>
      </c>
      <c r="S1" s="296" t="s">
        <v>27</v>
      </c>
      <c r="T1" s="85"/>
      <c r="V1" s="292" t="s">
        <v>115</v>
      </c>
      <c r="W1" s="294" t="s">
        <v>26</v>
      </c>
      <c r="X1" s="295" t="s">
        <v>26</v>
      </c>
      <c r="Y1" s="295" t="s">
        <v>26</v>
      </c>
      <c r="Z1" s="295" t="s">
        <v>26</v>
      </c>
      <c r="AA1" s="295" t="s">
        <v>26</v>
      </c>
      <c r="AB1" s="295" t="s">
        <v>26</v>
      </c>
      <c r="AC1" s="295" t="s">
        <v>26</v>
      </c>
      <c r="AD1" s="295" t="s">
        <v>26</v>
      </c>
      <c r="AE1" s="295" t="s">
        <v>26</v>
      </c>
      <c r="AF1" s="295" t="s">
        <v>26</v>
      </c>
      <c r="AG1" s="296" t="s">
        <v>26</v>
      </c>
      <c r="AH1" s="294" t="s">
        <v>27</v>
      </c>
      <c r="AI1" s="295" t="s">
        <v>27</v>
      </c>
      <c r="AJ1" s="295" t="s">
        <v>27</v>
      </c>
      <c r="AK1" s="295" t="s">
        <v>27</v>
      </c>
      <c r="AL1" s="296" t="s">
        <v>27</v>
      </c>
      <c r="AM1" s="296" t="s">
        <v>27</v>
      </c>
    </row>
    <row r="2" spans="1:39">
      <c r="A2" s="159" t="s">
        <v>191</v>
      </c>
      <c r="B2" s="264" t="s">
        <v>139</v>
      </c>
      <c r="C2" s="297" t="s">
        <v>179</v>
      </c>
      <c r="D2" s="243" t="s">
        <v>96</v>
      </c>
      <c r="E2" s="243" t="s">
        <v>97</v>
      </c>
      <c r="F2" s="243" t="s">
        <v>63</v>
      </c>
      <c r="G2" s="243" t="s">
        <v>80</v>
      </c>
      <c r="H2" s="243" t="s">
        <v>73</v>
      </c>
      <c r="I2" s="243" t="s">
        <v>170</v>
      </c>
      <c r="J2" s="243" t="s">
        <v>143</v>
      </c>
      <c r="K2" s="243" t="s">
        <v>70</v>
      </c>
      <c r="L2" s="243" t="s">
        <v>54</v>
      </c>
      <c r="M2" s="298" t="s">
        <v>46</v>
      </c>
      <c r="N2" s="110" t="s">
        <v>112</v>
      </c>
      <c r="O2" s="2" t="s">
        <v>93</v>
      </c>
      <c r="P2" s="2" t="s">
        <v>140</v>
      </c>
      <c r="Q2" s="2" t="s">
        <v>87</v>
      </c>
      <c r="R2" s="159" t="s">
        <v>59</v>
      </c>
      <c r="S2" s="51"/>
      <c r="T2" s="1"/>
      <c r="V2" s="159" t="s">
        <v>184</v>
      </c>
      <c r="W2" s="297" t="s">
        <v>181</v>
      </c>
      <c r="X2" s="243" t="s">
        <v>189</v>
      </c>
      <c r="Y2" s="243" t="s">
        <v>178</v>
      </c>
      <c r="Z2" s="243" t="s">
        <v>99</v>
      </c>
      <c r="AA2" s="243" t="s">
        <v>175</v>
      </c>
      <c r="AB2" s="243" t="s">
        <v>93</v>
      </c>
      <c r="AC2" s="243" t="s">
        <v>170</v>
      </c>
      <c r="AD2" s="243" t="s">
        <v>165</v>
      </c>
      <c r="AE2" s="243" t="s">
        <v>156</v>
      </c>
      <c r="AF2" s="243" t="s">
        <v>92</v>
      </c>
      <c r="AG2" s="298" t="s">
        <v>114</v>
      </c>
      <c r="AH2" s="110" t="s">
        <v>111</v>
      </c>
      <c r="AI2" s="2" t="s">
        <v>174</v>
      </c>
      <c r="AJ2" s="2" t="s">
        <v>182</v>
      </c>
      <c r="AK2" s="2" t="s">
        <v>162</v>
      </c>
      <c r="AL2" s="51" t="s">
        <v>126</v>
      </c>
      <c r="AM2" s="51"/>
    </row>
    <row r="3" spans="1:39">
      <c r="A3" s="159" t="s">
        <v>184</v>
      </c>
      <c r="B3" s="264" t="s">
        <v>142</v>
      </c>
      <c r="C3" s="297" t="s">
        <v>179</v>
      </c>
      <c r="D3" s="243" t="s">
        <v>96</v>
      </c>
      <c r="E3" s="243" t="s">
        <v>97</v>
      </c>
      <c r="F3" s="243" t="s">
        <v>63</v>
      </c>
      <c r="G3" s="243" t="s">
        <v>80</v>
      </c>
      <c r="H3" s="243" t="s">
        <v>73</v>
      </c>
      <c r="I3" s="243" t="s">
        <v>93</v>
      </c>
      <c r="J3" s="243" t="s">
        <v>143</v>
      </c>
      <c r="K3" s="243" t="s">
        <v>70</v>
      </c>
      <c r="L3" s="243" t="s">
        <v>54</v>
      </c>
      <c r="M3" s="298" t="s">
        <v>46</v>
      </c>
      <c r="N3" s="110" t="s">
        <v>177</v>
      </c>
      <c r="O3" s="2" t="s">
        <v>112</v>
      </c>
      <c r="P3" s="2" t="s">
        <v>170</v>
      </c>
      <c r="Q3" s="2" t="s">
        <v>140</v>
      </c>
      <c r="R3" s="159" t="s">
        <v>87</v>
      </c>
      <c r="S3" s="51"/>
      <c r="T3" s="1"/>
      <c r="V3" s="159" t="s">
        <v>117</v>
      </c>
      <c r="W3" s="297" t="s">
        <v>181</v>
      </c>
      <c r="X3" s="243" t="s">
        <v>189</v>
      </c>
      <c r="Y3" s="243" t="s">
        <v>178</v>
      </c>
      <c r="Z3" s="243" t="s">
        <v>99</v>
      </c>
      <c r="AA3" s="243" t="s">
        <v>177</v>
      </c>
      <c r="AB3" s="243" t="s">
        <v>112</v>
      </c>
      <c r="AC3" s="243" t="s">
        <v>170</v>
      </c>
      <c r="AD3" s="243" t="s">
        <v>87</v>
      </c>
      <c r="AE3" s="243" t="s">
        <v>143</v>
      </c>
      <c r="AF3" s="243" t="s">
        <v>92</v>
      </c>
      <c r="AG3" s="298" t="s">
        <v>114</v>
      </c>
      <c r="AH3" s="110" t="s">
        <v>111</v>
      </c>
      <c r="AI3" s="2" t="s">
        <v>174</v>
      </c>
      <c r="AJ3" s="2" t="s">
        <v>182</v>
      </c>
      <c r="AK3" s="2" t="s">
        <v>183</v>
      </c>
      <c r="AL3" s="51" t="s">
        <v>126</v>
      </c>
      <c r="AM3" s="51" t="s">
        <v>165</v>
      </c>
    </row>
    <row r="4" spans="1:39">
      <c r="A4" s="159" t="s">
        <v>117</v>
      </c>
      <c r="B4" s="264" t="s">
        <v>145</v>
      </c>
      <c r="C4" s="297" t="s">
        <v>179</v>
      </c>
      <c r="D4" s="243" t="s">
        <v>96</v>
      </c>
      <c r="E4" s="243" t="s">
        <v>97</v>
      </c>
      <c r="F4" s="243" t="s">
        <v>63</v>
      </c>
      <c r="G4" s="243" t="s">
        <v>80</v>
      </c>
      <c r="H4" s="243" t="s">
        <v>73</v>
      </c>
      <c r="I4" s="243" t="s">
        <v>170</v>
      </c>
      <c r="J4" s="243" t="s">
        <v>143</v>
      </c>
      <c r="K4" s="243" t="s">
        <v>70</v>
      </c>
      <c r="L4" s="243" t="s">
        <v>54</v>
      </c>
      <c r="M4" s="298" t="s">
        <v>46</v>
      </c>
      <c r="N4" s="110" t="s">
        <v>112</v>
      </c>
      <c r="O4" s="2" t="s">
        <v>140</v>
      </c>
      <c r="P4" s="2" t="s">
        <v>87</v>
      </c>
      <c r="Q4" s="2" t="s">
        <v>182</v>
      </c>
      <c r="R4" s="159" t="s">
        <v>59</v>
      </c>
      <c r="S4" s="51"/>
      <c r="T4" s="1"/>
      <c r="V4" s="159" t="s">
        <v>128</v>
      </c>
      <c r="W4" s="297" t="s">
        <v>109</v>
      </c>
      <c r="X4" s="243" t="s">
        <v>80</v>
      </c>
      <c r="Y4" s="243" t="s">
        <v>178</v>
      </c>
      <c r="Z4" s="243" t="s">
        <v>99</v>
      </c>
      <c r="AA4" s="243" t="s">
        <v>177</v>
      </c>
      <c r="AB4" s="243" t="s">
        <v>93</v>
      </c>
      <c r="AC4" s="243" t="s">
        <v>170</v>
      </c>
      <c r="AD4" s="243" t="s">
        <v>182</v>
      </c>
      <c r="AE4" s="243" t="s">
        <v>143</v>
      </c>
      <c r="AF4" s="243" t="s">
        <v>156</v>
      </c>
      <c r="AG4" s="298" t="s">
        <v>126</v>
      </c>
      <c r="AH4" s="110" t="s">
        <v>87</v>
      </c>
      <c r="AI4" s="2" t="s">
        <v>189</v>
      </c>
      <c r="AJ4" s="2" t="s">
        <v>114</v>
      </c>
      <c r="AK4" s="2" t="s">
        <v>111</v>
      </c>
      <c r="AL4" s="51" t="s">
        <v>92</v>
      </c>
      <c r="AM4" s="51"/>
    </row>
    <row r="5" spans="1:39">
      <c r="A5" s="159" t="s">
        <v>192</v>
      </c>
      <c r="B5" s="264" t="s">
        <v>147</v>
      </c>
      <c r="C5" s="297" t="s">
        <v>179</v>
      </c>
      <c r="D5" s="243" t="s">
        <v>96</v>
      </c>
      <c r="E5" s="243" t="s">
        <v>97</v>
      </c>
      <c r="F5" s="243" t="s">
        <v>63</v>
      </c>
      <c r="G5" s="243" t="s">
        <v>80</v>
      </c>
      <c r="H5" s="243" t="s">
        <v>73</v>
      </c>
      <c r="I5" s="243" t="s">
        <v>112</v>
      </c>
      <c r="J5" s="243" t="s">
        <v>143</v>
      </c>
      <c r="K5" s="243" t="s">
        <v>70</v>
      </c>
      <c r="L5" s="243" t="s">
        <v>87</v>
      </c>
      <c r="M5" s="298" t="s">
        <v>46</v>
      </c>
      <c r="N5" s="110" t="s">
        <v>52</v>
      </c>
      <c r="O5" s="2" t="s">
        <v>140</v>
      </c>
      <c r="P5" s="2" t="s">
        <v>54</v>
      </c>
      <c r="Q5" s="2" t="s">
        <v>59</v>
      </c>
      <c r="R5" s="159" t="s">
        <v>171</v>
      </c>
      <c r="S5" s="51"/>
      <c r="T5" s="1"/>
      <c r="V5" s="159" t="s">
        <v>129</v>
      </c>
      <c r="W5" s="297"/>
      <c r="X5" s="243"/>
      <c r="Y5" s="243"/>
      <c r="Z5" s="243"/>
      <c r="AA5" s="243"/>
      <c r="AB5" s="243"/>
      <c r="AC5" s="243"/>
      <c r="AD5" s="243"/>
      <c r="AE5" s="243"/>
      <c r="AF5" s="243"/>
      <c r="AG5" s="298"/>
      <c r="AH5" s="110"/>
      <c r="AI5" s="2"/>
      <c r="AJ5" s="2"/>
      <c r="AK5" s="2"/>
      <c r="AL5" s="51"/>
      <c r="AM5" s="51"/>
    </row>
    <row r="6" spans="1:39">
      <c r="A6" s="159" t="s">
        <v>193</v>
      </c>
      <c r="B6" s="264" t="s">
        <v>149</v>
      </c>
      <c r="C6" s="297" t="s">
        <v>179</v>
      </c>
      <c r="D6" s="243" t="s">
        <v>96</v>
      </c>
      <c r="E6" s="243" t="s">
        <v>97</v>
      </c>
      <c r="F6" s="243" t="s">
        <v>63</v>
      </c>
      <c r="G6" s="243" t="s">
        <v>80</v>
      </c>
      <c r="H6" s="243" t="s">
        <v>73</v>
      </c>
      <c r="I6" s="243" t="s">
        <v>112</v>
      </c>
      <c r="J6" s="243" t="s">
        <v>143</v>
      </c>
      <c r="K6" s="243" t="s">
        <v>70</v>
      </c>
      <c r="L6" s="243" t="s">
        <v>54</v>
      </c>
      <c r="M6" s="298" t="s">
        <v>59</v>
      </c>
      <c r="N6" s="110" t="s">
        <v>52</v>
      </c>
      <c r="O6" s="2" t="s">
        <v>140</v>
      </c>
      <c r="P6" s="2" t="s">
        <v>156</v>
      </c>
      <c r="Q6" s="2" t="s">
        <v>46</v>
      </c>
      <c r="R6" s="159" t="s">
        <v>171</v>
      </c>
      <c r="S6" s="51"/>
      <c r="T6" s="1"/>
      <c r="V6" s="159" t="s">
        <v>130</v>
      </c>
      <c r="W6" s="297"/>
      <c r="X6" s="243"/>
      <c r="Y6" s="243"/>
      <c r="Z6" s="243"/>
      <c r="AA6" s="243"/>
      <c r="AB6" s="243"/>
      <c r="AC6" s="243"/>
      <c r="AD6" s="243"/>
      <c r="AE6" s="243"/>
      <c r="AF6" s="243"/>
      <c r="AG6" s="298"/>
      <c r="AH6" s="110"/>
      <c r="AI6" s="2"/>
      <c r="AJ6" s="2"/>
      <c r="AK6" s="2"/>
      <c r="AL6" s="51"/>
      <c r="AM6" s="51"/>
    </row>
    <row r="7" spans="1:39">
      <c r="A7" s="159" t="s">
        <v>194</v>
      </c>
      <c r="B7" s="264" t="s">
        <v>151</v>
      </c>
      <c r="C7" s="297" t="s">
        <v>179</v>
      </c>
      <c r="D7" s="243" t="s">
        <v>96</v>
      </c>
      <c r="E7" s="243" t="s">
        <v>97</v>
      </c>
      <c r="F7" s="243" t="s">
        <v>63</v>
      </c>
      <c r="G7" s="243" t="s">
        <v>52</v>
      </c>
      <c r="H7" s="243" t="s">
        <v>93</v>
      </c>
      <c r="I7" s="243" t="s">
        <v>112</v>
      </c>
      <c r="J7" s="243" t="s">
        <v>59</v>
      </c>
      <c r="K7" s="243" t="s">
        <v>140</v>
      </c>
      <c r="L7" s="243" t="s">
        <v>54</v>
      </c>
      <c r="M7" s="298" t="s">
        <v>46</v>
      </c>
      <c r="N7" s="110" t="s">
        <v>80</v>
      </c>
      <c r="O7" s="2" t="s">
        <v>70</v>
      </c>
      <c r="P7" s="2" t="s">
        <v>156</v>
      </c>
      <c r="Q7" s="2" t="s">
        <v>178</v>
      </c>
      <c r="R7" s="159" t="s">
        <v>171</v>
      </c>
      <c r="S7" s="51"/>
      <c r="T7" s="1"/>
      <c r="V7" s="159" t="s">
        <v>131</v>
      </c>
      <c r="W7" s="297"/>
      <c r="X7" s="243"/>
      <c r="Y7" s="243"/>
      <c r="Z7" s="243"/>
      <c r="AA7" s="243"/>
      <c r="AB7" s="243"/>
      <c r="AC7" s="243"/>
      <c r="AD7" s="243"/>
      <c r="AE7" s="243"/>
      <c r="AF7" s="243"/>
      <c r="AG7" s="298"/>
      <c r="AH7" s="110"/>
      <c r="AI7" s="2"/>
      <c r="AJ7" s="2"/>
      <c r="AK7" s="2"/>
      <c r="AL7" s="51"/>
      <c r="AM7" s="51"/>
    </row>
    <row r="8" spans="1:39">
      <c r="A8" s="159" t="s">
        <v>195</v>
      </c>
      <c r="B8" s="264" t="s">
        <v>153</v>
      </c>
      <c r="C8" s="297" t="s">
        <v>179</v>
      </c>
      <c r="D8" s="243" t="s">
        <v>96</v>
      </c>
      <c r="E8" s="243" t="s">
        <v>97</v>
      </c>
      <c r="F8" s="243" t="s">
        <v>63</v>
      </c>
      <c r="G8" s="243" t="s">
        <v>80</v>
      </c>
      <c r="H8" s="243" t="s">
        <v>93</v>
      </c>
      <c r="I8" s="243" t="s">
        <v>73</v>
      </c>
      <c r="J8" s="243" t="s">
        <v>70</v>
      </c>
      <c r="K8" s="243" t="s">
        <v>140</v>
      </c>
      <c r="L8" s="243" t="s">
        <v>54</v>
      </c>
      <c r="M8" s="298" t="s">
        <v>46</v>
      </c>
      <c r="N8" s="110" t="s">
        <v>52</v>
      </c>
      <c r="O8" s="2" t="s">
        <v>59</v>
      </c>
      <c r="P8" s="2" t="s">
        <v>156</v>
      </c>
      <c r="Q8" s="2" t="s">
        <v>171</v>
      </c>
      <c r="R8" s="159" t="s">
        <v>177</v>
      </c>
      <c r="S8" s="51"/>
      <c r="T8" s="1"/>
    </row>
    <row r="9" spans="1:39">
      <c r="A9" s="159" t="s">
        <v>196</v>
      </c>
      <c r="B9" s="264" t="s">
        <v>155</v>
      </c>
      <c r="C9" s="297" t="s">
        <v>179</v>
      </c>
      <c r="D9" s="243" t="s">
        <v>96</v>
      </c>
      <c r="E9" s="243" t="s">
        <v>97</v>
      </c>
      <c r="F9" s="243" t="s">
        <v>63</v>
      </c>
      <c r="G9" s="243" t="s">
        <v>52</v>
      </c>
      <c r="H9" s="243" t="s">
        <v>93</v>
      </c>
      <c r="I9" s="243" t="s">
        <v>73</v>
      </c>
      <c r="J9" s="243" t="s">
        <v>70</v>
      </c>
      <c r="K9" s="243" t="s">
        <v>140</v>
      </c>
      <c r="L9" s="243" t="s">
        <v>54</v>
      </c>
      <c r="M9" s="298" t="s">
        <v>46</v>
      </c>
      <c r="N9" s="110" t="s">
        <v>80</v>
      </c>
      <c r="O9" s="2" t="s">
        <v>59</v>
      </c>
      <c r="P9" s="2" t="s">
        <v>156</v>
      </c>
      <c r="Q9" s="2" t="s">
        <v>171</v>
      </c>
      <c r="R9" s="159" t="s">
        <v>114</v>
      </c>
      <c r="S9" s="51"/>
      <c r="T9" s="1"/>
    </row>
    <row r="10" spans="1:39">
      <c r="A10" s="159" t="s">
        <v>197</v>
      </c>
      <c r="B10" s="264" t="s">
        <v>78</v>
      </c>
      <c r="C10" s="297" t="s">
        <v>179</v>
      </c>
      <c r="D10" s="243" t="s">
        <v>96</v>
      </c>
      <c r="E10" s="243" t="s">
        <v>97</v>
      </c>
      <c r="F10" s="243" t="s">
        <v>63</v>
      </c>
      <c r="G10" s="243" t="s">
        <v>52</v>
      </c>
      <c r="H10" s="243" t="s">
        <v>112</v>
      </c>
      <c r="I10" s="243" t="s">
        <v>73</v>
      </c>
      <c r="J10" s="243" t="s">
        <v>70</v>
      </c>
      <c r="K10" s="243" t="s">
        <v>156</v>
      </c>
      <c r="L10" s="243" t="s">
        <v>54</v>
      </c>
      <c r="M10" s="298" t="s">
        <v>46</v>
      </c>
      <c r="N10" s="110" t="s">
        <v>80</v>
      </c>
      <c r="O10" s="2" t="s">
        <v>59</v>
      </c>
      <c r="P10" s="2" t="s">
        <v>93</v>
      </c>
      <c r="Q10" s="2" t="s">
        <v>114</v>
      </c>
      <c r="R10" s="159" t="s">
        <v>140</v>
      </c>
      <c r="S10" s="51"/>
      <c r="T10" s="1"/>
    </row>
    <row r="11" spans="1:39">
      <c r="A11" s="159" t="s">
        <v>198</v>
      </c>
      <c r="B11" s="264" t="s">
        <v>118</v>
      </c>
      <c r="C11" s="297" t="s">
        <v>179</v>
      </c>
      <c r="D11" s="243" t="s">
        <v>96</v>
      </c>
      <c r="E11" s="243" t="s">
        <v>97</v>
      </c>
      <c r="F11" s="243" t="s">
        <v>63</v>
      </c>
      <c r="G11" s="243" t="s">
        <v>52</v>
      </c>
      <c r="H11" s="243" t="s">
        <v>112</v>
      </c>
      <c r="I11" s="243" t="s">
        <v>73</v>
      </c>
      <c r="J11" s="243" t="s">
        <v>70</v>
      </c>
      <c r="K11" s="243" t="s">
        <v>140</v>
      </c>
      <c r="L11" s="243" t="s">
        <v>54</v>
      </c>
      <c r="M11" s="298" t="s">
        <v>46</v>
      </c>
      <c r="N11" s="110" t="s">
        <v>156</v>
      </c>
      <c r="O11" s="2" t="s">
        <v>87</v>
      </c>
      <c r="P11" s="2" t="s">
        <v>93</v>
      </c>
      <c r="Q11" s="2" t="s">
        <v>114</v>
      </c>
      <c r="R11" s="159" t="s">
        <v>171</v>
      </c>
      <c r="S11" s="51"/>
      <c r="T11" s="1"/>
    </row>
    <row r="12" spans="1:39">
      <c r="A12" s="159" t="s">
        <v>199</v>
      </c>
      <c r="B12" s="264" t="s">
        <v>159</v>
      </c>
      <c r="C12" s="297" t="s">
        <v>179</v>
      </c>
      <c r="D12" s="243" t="s">
        <v>96</v>
      </c>
      <c r="E12" s="243" t="s">
        <v>97</v>
      </c>
      <c r="F12" s="243" t="s">
        <v>63</v>
      </c>
      <c r="G12" s="243" t="s">
        <v>52</v>
      </c>
      <c r="H12" s="243" t="s">
        <v>112</v>
      </c>
      <c r="I12" s="243" t="s">
        <v>73</v>
      </c>
      <c r="J12" s="243" t="s">
        <v>70</v>
      </c>
      <c r="K12" s="243" t="s">
        <v>140</v>
      </c>
      <c r="L12" s="243" t="s">
        <v>54</v>
      </c>
      <c r="M12" s="298" t="s">
        <v>46</v>
      </c>
      <c r="N12" s="110" t="s">
        <v>156</v>
      </c>
      <c r="O12" s="2" t="s">
        <v>87</v>
      </c>
      <c r="P12" s="2" t="s">
        <v>93</v>
      </c>
      <c r="Q12" s="2" t="s">
        <v>114</v>
      </c>
      <c r="R12" s="159" t="s">
        <v>171</v>
      </c>
      <c r="S12" s="51"/>
      <c r="T12" s="1"/>
    </row>
    <row r="13" spans="1:39">
      <c r="A13" s="159" t="s">
        <v>200</v>
      </c>
      <c r="B13" s="264" t="s">
        <v>161</v>
      </c>
      <c r="C13" s="297" t="s">
        <v>179</v>
      </c>
      <c r="D13" s="243" t="s">
        <v>96</v>
      </c>
      <c r="E13" s="243" t="s">
        <v>97</v>
      </c>
      <c r="F13" s="243" t="s">
        <v>63</v>
      </c>
      <c r="G13" s="243" t="s">
        <v>52</v>
      </c>
      <c r="H13" s="243" t="s">
        <v>112</v>
      </c>
      <c r="I13" s="243" t="s">
        <v>73</v>
      </c>
      <c r="J13" s="243" t="s">
        <v>70</v>
      </c>
      <c r="K13" s="243" t="s">
        <v>140</v>
      </c>
      <c r="L13" s="243" t="s">
        <v>54</v>
      </c>
      <c r="M13" s="298" t="s">
        <v>46</v>
      </c>
      <c r="N13" s="110" t="s">
        <v>156</v>
      </c>
      <c r="O13" s="2" t="s">
        <v>87</v>
      </c>
      <c r="P13" s="2" t="s">
        <v>93</v>
      </c>
      <c r="Q13" s="2" t="s">
        <v>177</v>
      </c>
      <c r="R13" s="159" t="s">
        <v>171</v>
      </c>
      <c r="S13" s="51"/>
      <c r="T13" s="1"/>
    </row>
    <row r="14" spans="1:39">
      <c r="A14" s="159" t="s">
        <v>201</v>
      </c>
      <c r="B14" s="264" t="s">
        <v>164</v>
      </c>
      <c r="C14" s="297" t="s">
        <v>179</v>
      </c>
      <c r="D14" s="243" t="s">
        <v>96</v>
      </c>
      <c r="E14" s="243" t="s">
        <v>97</v>
      </c>
      <c r="F14" s="243" t="s">
        <v>63</v>
      </c>
      <c r="G14" s="243" t="s">
        <v>52</v>
      </c>
      <c r="H14" s="243" t="s">
        <v>112</v>
      </c>
      <c r="I14" s="243" t="s">
        <v>73</v>
      </c>
      <c r="J14" s="243" t="s">
        <v>70</v>
      </c>
      <c r="K14" s="243" t="s">
        <v>140</v>
      </c>
      <c r="L14" s="243" t="s">
        <v>54</v>
      </c>
      <c r="M14" s="298" t="s">
        <v>46</v>
      </c>
      <c r="N14" s="110" t="s">
        <v>156</v>
      </c>
      <c r="O14" s="2" t="s">
        <v>87</v>
      </c>
      <c r="P14" s="2" t="s">
        <v>93</v>
      </c>
      <c r="Q14" s="2" t="s">
        <v>114</v>
      </c>
      <c r="R14" s="159" t="s">
        <v>171</v>
      </c>
      <c r="S14" s="51"/>
      <c r="T14" s="1"/>
    </row>
    <row r="15" spans="1:39">
      <c r="A15" s="159" t="s">
        <v>202</v>
      </c>
      <c r="B15" s="264" t="s">
        <v>155</v>
      </c>
      <c r="C15" s="297" t="s">
        <v>179</v>
      </c>
      <c r="D15" s="243" t="s">
        <v>96</v>
      </c>
      <c r="E15" s="243" t="s">
        <v>97</v>
      </c>
      <c r="F15" s="243" t="s">
        <v>63</v>
      </c>
      <c r="G15" s="243" t="s">
        <v>52</v>
      </c>
      <c r="H15" s="243" t="s">
        <v>112</v>
      </c>
      <c r="I15" s="243" t="s">
        <v>73</v>
      </c>
      <c r="J15" s="243" t="s">
        <v>70</v>
      </c>
      <c r="K15" s="243" t="s">
        <v>140</v>
      </c>
      <c r="L15" s="243" t="s">
        <v>54</v>
      </c>
      <c r="M15" s="298" t="s">
        <v>46</v>
      </c>
      <c r="N15" s="110" t="s">
        <v>156</v>
      </c>
      <c r="O15" s="2" t="s">
        <v>87</v>
      </c>
      <c r="P15" s="2" t="s">
        <v>93</v>
      </c>
      <c r="Q15" s="2" t="s">
        <v>177</v>
      </c>
      <c r="R15" s="159" t="s">
        <v>171</v>
      </c>
      <c r="S15" s="51"/>
      <c r="T15" s="1"/>
    </row>
    <row r="16" spans="1:39">
      <c r="A16" s="159" t="s">
        <v>203</v>
      </c>
      <c r="B16" s="264" t="s">
        <v>78</v>
      </c>
      <c r="C16" s="297" t="s">
        <v>179</v>
      </c>
      <c r="D16" s="243" t="s">
        <v>96</v>
      </c>
      <c r="E16" s="243" t="s">
        <v>97</v>
      </c>
      <c r="F16" s="243" t="s">
        <v>63</v>
      </c>
      <c r="G16" s="243" t="s">
        <v>52</v>
      </c>
      <c r="H16" s="243" t="s">
        <v>93</v>
      </c>
      <c r="I16" s="243" t="s">
        <v>73</v>
      </c>
      <c r="J16" s="243" t="s">
        <v>70</v>
      </c>
      <c r="K16" s="243" t="s">
        <v>140</v>
      </c>
      <c r="L16" s="243" t="s">
        <v>54</v>
      </c>
      <c r="M16" s="298" t="s">
        <v>114</v>
      </c>
      <c r="N16" s="110" t="s">
        <v>99</v>
      </c>
      <c r="O16" s="2" t="s">
        <v>177</v>
      </c>
      <c r="P16" s="2" t="s">
        <v>171</v>
      </c>
      <c r="Q16" s="2" t="s">
        <v>143</v>
      </c>
      <c r="R16" s="159" t="s">
        <v>46</v>
      </c>
      <c r="S16" s="51"/>
      <c r="T16" s="1"/>
    </row>
    <row r="17" spans="1:20">
      <c r="A17" s="159" t="s">
        <v>204</v>
      </c>
      <c r="B17" s="264" t="s">
        <v>142</v>
      </c>
      <c r="C17" s="297" t="s">
        <v>179</v>
      </c>
      <c r="D17" s="243" t="s">
        <v>96</v>
      </c>
      <c r="E17" s="243" t="s">
        <v>97</v>
      </c>
      <c r="F17" s="243" t="s">
        <v>63</v>
      </c>
      <c r="G17" s="243" t="s">
        <v>52</v>
      </c>
      <c r="H17" s="243" t="s">
        <v>93</v>
      </c>
      <c r="I17" s="243" t="s">
        <v>73</v>
      </c>
      <c r="J17" s="243" t="s">
        <v>70</v>
      </c>
      <c r="K17" s="243" t="s">
        <v>140</v>
      </c>
      <c r="L17" s="243" t="s">
        <v>54</v>
      </c>
      <c r="M17" s="298" t="s">
        <v>46</v>
      </c>
      <c r="N17" s="110" t="s">
        <v>99</v>
      </c>
      <c r="O17" s="2" t="s">
        <v>87</v>
      </c>
      <c r="P17" s="2" t="s">
        <v>171</v>
      </c>
      <c r="Q17" s="2" t="s">
        <v>143</v>
      </c>
      <c r="R17" s="159" t="s">
        <v>114</v>
      </c>
      <c r="S17" s="51"/>
      <c r="T17" s="1"/>
    </row>
    <row r="18" spans="1:20">
      <c r="A18" s="159" t="s">
        <v>205</v>
      </c>
      <c r="B18" s="264" t="s">
        <v>151</v>
      </c>
      <c r="C18" s="297" t="s">
        <v>179</v>
      </c>
      <c r="D18" s="243" t="s">
        <v>96</v>
      </c>
      <c r="E18" s="243" t="s">
        <v>97</v>
      </c>
      <c r="F18" s="243" t="s">
        <v>63</v>
      </c>
      <c r="G18" s="243" t="s">
        <v>52</v>
      </c>
      <c r="H18" s="243" t="s">
        <v>93</v>
      </c>
      <c r="I18" s="243" t="s">
        <v>80</v>
      </c>
      <c r="J18" s="243" t="s">
        <v>70</v>
      </c>
      <c r="K18" s="243" t="s">
        <v>140</v>
      </c>
      <c r="L18" s="243" t="s">
        <v>54</v>
      </c>
      <c r="M18" s="298" t="s">
        <v>46</v>
      </c>
      <c r="N18" s="110" t="s">
        <v>99</v>
      </c>
      <c r="O18" s="2" t="s">
        <v>87</v>
      </c>
      <c r="P18" s="2" t="s">
        <v>171</v>
      </c>
      <c r="Q18" s="2" t="s">
        <v>143</v>
      </c>
      <c r="R18" s="159" t="s">
        <v>114</v>
      </c>
      <c r="S18" s="51"/>
      <c r="T18" s="1"/>
    </row>
    <row r="19" spans="1:20">
      <c r="A19" s="159" t="s">
        <v>206</v>
      </c>
      <c r="B19" s="264" t="s">
        <v>118</v>
      </c>
      <c r="C19" s="297" t="s">
        <v>107</v>
      </c>
      <c r="D19" s="243" t="s">
        <v>96</v>
      </c>
      <c r="E19" s="243" t="s">
        <v>97</v>
      </c>
      <c r="F19" s="243" t="s">
        <v>63</v>
      </c>
      <c r="G19" s="243" t="s">
        <v>52</v>
      </c>
      <c r="H19" s="243" t="s">
        <v>93</v>
      </c>
      <c r="I19" s="243" t="s">
        <v>73</v>
      </c>
      <c r="J19" s="243" t="s">
        <v>70</v>
      </c>
      <c r="K19" s="243" t="s">
        <v>143</v>
      </c>
      <c r="L19" s="243" t="s">
        <v>54</v>
      </c>
      <c r="M19" s="298" t="s">
        <v>46</v>
      </c>
      <c r="N19" s="110" t="s">
        <v>99</v>
      </c>
      <c r="O19" s="2" t="s">
        <v>87</v>
      </c>
      <c r="P19" s="2" t="s">
        <v>156</v>
      </c>
      <c r="Q19" s="2" t="s">
        <v>80</v>
      </c>
      <c r="R19" s="159" t="s">
        <v>114</v>
      </c>
      <c r="S19" s="51"/>
      <c r="T19" s="1"/>
    </row>
    <row r="20" spans="1:20">
      <c r="A20" s="159" t="s">
        <v>207</v>
      </c>
      <c r="B20" s="264" t="s">
        <v>164</v>
      </c>
      <c r="C20" s="297" t="s">
        <v>179</v>
      </c>
      <c r="D20" s="243" t="s">
        <v>96</v>
      </c>
      <c r="E20" s="243" t="s">
        <v>97</v>
      </c>
      <c r="F20" s="243" t="s">
        <v>63</v>
      </c>
      <c r="G20" s="243" t="s">
        <v>52</v>
      </c>
      <c r="H20" s="243" t="s">
        <v>176</v>
      </c>
      <c r="I20" s="243" t="s">
        <v>73</v>
      </c>
      <c r="J20" s="243" t="s">
        <v>70</v>
      </c>
      <c r="K20" s="243" t="s">
        <v>140</v>
      </c>
      <c r="L20" s="243" t="s">
        <v>54</v>
      </c>
      <c r="M20" s="298" t="s">
        <v>46</v>
      </c>
      <c r="N20" s="110" t="s">
        <v>99</v>
      </c>
      <c r="O20" s="2" t="s">
        <v>87</v>
      </c>
      <c r="P20" s="2" t="s">
        <v>171</v>
      </c>
      <c r="Q20" s="2" t="s">
        <v>143</v>
      </c>
      <c r="R20" s="159" t="s">
        <v>114</v>
      </c>
      <c r="S20" s="51"/>
      <c r="T20" s="1"/>
    </row>
    <row r="21" spans="1:20">
      <c r="A21" s="159" t="s">
        <v>208</v>
      </c>
      <c r="B21" s="264" t="s">
        <v>159</v>
      </c>
      <c r="C21" s="297" t="s">
        <v>179</v>
      </c>
      <c r="D21" s="243" t="s">
        <v>178</v>
      </c>
      <c r="E21" s="243" t="s">
        <v>97</v>
      </c>
      <c r="F21" s="243" t="s">
        <v>99</v>
      </c>
      <c r="G21" s="243" t="s">
        <v>52</v>
      </c>
      <c r="H21" s="243" t="s">
        <v>80</v>
      </c>
      <c r="I21" s="243" t="s">
        <v>73</v>
      </c>
      <c r="J21" s="243" t="s">
        <v>70</v>
      </c>
      <c r="K21" s="243" t="s">
        <v>140</v>
      </c>
      <c r="L21" s="243" t="s">
        <v>54</v>
      </c>
      <c r="M21" s="298" t="s">
        <v>171</v>
      </c>
      <c r="N21" s="110" t="s">
        <v>176</v>
      </c>
      <c r="O21" s="2" t="s">
        <v>156</v>
      </c>
      <c r="P21" s="2" t="s">
        <v>90</v>
      </c>
      <c r="Q21" s="2" t="s">
        <v>46</v>
      </c>
      <c r="R21" s="159" t="s">
        <v>114</v>
      </c>
      <c r="S21" s="51"/>
      <c r="T21" s="1"/>
    </row>
    <row r="22" spans="1:20">
      <c r="A22" s="159" t="s">
        <v>209</v>
      </c>
      <c r="B22" s="264" t="s">
        <v>139</v>
      </c>
      <c r="C22" s="297" t="s">
        <v>179</v>
      </c>
      <c r="D22" s="243" t="s">
        <v>176</v>
      </c>
      <c r="E22" s="243" t="s">
        <v>97</v>
      </c>
      <c r="F22" s="243" t="s">
        <v>99</v>
      </c>
      <c r="G22" s="243" t="s">
        <v>52</v>
      </c>
      <c r="H22" s="243" t="s">
        <v>90</v>
      </c>
      <c r="I22" s="243" t="s">
        <v>73</v>
      </c>
      <c r="J22" s="243" t="s">
        <v>70</v>
      </c>
      <c r="K22" s="243" t="s">
        <v>140</v>
      </c>
      <c r="L22" s="243" t="s">
        <v>54</v>
      </c>
      <c r="M22" s="298" t="s">
        <v>46</v>
      </c>
      <c r="N22" s="110" t="s">
        <v>80</v>
      </c>
      <c r="O22" s="2" t="s">
        <v>87</v>
      </c>
      <c r="P22" s="2" t="s">
        <v>156</v>
      </c>
      <c r="Q22" s="2" t="s">
        <v>171</v>
      </c>
      <c r="R22" s="159" t="s">
        <v>114</v>
      </c>
      <c r="S22" s="51"/>
      <c r="T22" s="1"/>
    </row>
    <row r="23" spans="1:20">
      <c r="A23" s="159" t="s">
        <v>210</v>
      </c>
      <c r="B23" s="264" t="s">
        <v>161</v>
      </c>
      <c r="C23" s="297" t="s">
        <v>179</v>
      </c>
      <c r="D23" s="243" t="s">
        <v>176</v>
      </c>
      <c r="E23" s="243" t="s">
        <v>97</v>
      </c>
      <c r="F23" s="243" t="s">
        <v>63</v>
      </c>
      <c r="G23" s="243" t="s">
        <v>52</v>
      </c>
      <c r="H23" s="243" t="s">
        <v>80</v>
      </c>
      <c r="I23" s="243" t="s">
        <v>73</v>
      </c>
      <c r="J23" s="243" t="s">
        <v>70</v>
      </c>
      <c r="K23" s="243" t="s">
        <v>156</v>
      </c>
      <c r="L23" s="243" t="s">
        <v>54</v>
      </c>
      <c r="M23" s="298" t="s">
        <v>171</v>
      </c>
      <c r="N23" s="110" t="s">
        <v>46</v>
      </c>
      <c r="O23" s="2" t="s">
        <v>140</v>
      </c>
      <c r="P23" s="2" t="s">
        <v>90</v>
      </c>
      <c r="Q23" s="2" t="s">
        <v>87</v>
      </c>
      <c r="R23" s="159"/>
      <c r="S23" s="51"/>
      <c r="T23" s="1"/>
    </row>
    <row r="24" spans="1:20">
      <c r="A24" s="159" t="s">
        <v>211</v>
      </c>
      <c r="B24" s="264" t="s">
        <v>147</v>
      </c>
      <c r="C24" s="297" t="s">
        <v>107</v>
      </c>
      <c r="D24" s="243" t="s">
        <v>177</v>
      </c>
      <c r="E24" s="243" t="s">
        <v>97</v>
      </c>
      <c r="F24" s="243" t="s">
        <v>63</v>
      </c>
      <c r="G24" s="243" t="s">
        <v>52</v>
      </c>
      <c r="H24" s="243" t="s">
        <v>80</v>
      </c>
      <c r="I24" s="243" t="s">
        <v>73</v>
      </c>
      <c r="J24" s="243" t="s">
        <v>70</v>
      </c>
      <c r="K24" s="243" t="s">
        <v>140</v>
      </c>
      <c r="L24" s="243" t="s">
        <v>54</v>
      </c>
      <c r="M24" s="298" t="s">
        <v>171</v>
      </c>
      <c r="N24" s="110" t="s">
        <v>156</v>
      </c>
      <c r="O24" s="2" t="s">
        <v>87</v>
      </c>
      <c r="P24" s="2" t="s">
        <v>143</v>
      </c>
      <c r="Q24" s="2" t="s">
        <v>90</v>
      </c>
      <c r="R24" s="159" t="s">
        <v>176</v>
      </c>
      <c r="S24" s="51" t="s">
        <v>114</v>
      </c>
      <c r="T24" s="1"/>
    </row>
    <row r="25" spans="1:20">
      <c r="A25" s="159" t="s">
        <v>212</v>
      </c>
      <c r="B25" s="264" t="s">
        <v>149</v>
      </c>
      <c r="C25" s="297" t="s">
        <v>107</v>
      </c>
      <c r="D25" s="243" t="s">
        <v>177</v>
      </c>
      <c r="E25" s="243" t="s">
        <v>97</v>
      </c>
      <c r="F25" s="243" t="s">
        <v>63</v>
      </c>
      <c r="G25" s="243" t="s">
        <v>87</v>
      </c>
      <c r="H25" s="243" t="s">
        <v>80</v>
      </c>
      <c r="I25" s="243" t="s">
        <v>73</v>
      </c>
      <c r="J25" s="243" t="s">
        <v>70</v>
      </c>
      <c r="K25" s="243" t="s">
        <v>140</v>
      </c>
      <c r="L25" s="243" t="s">
        <v>54</v>
      </c>
      <c r="M25" s="298" t="s">
        <v>114</v>
      </c>
      <c r="N25" s="110" t="s">
        <v>143</v>
      </c>
      <c r="O25" s="2" t="s">
        <v>46</v>
      </c>
      <c r="P25" s="2" t="s">
        <v>171</v>
      </c>
      <c r="Q25" s="2" t="s">
        <v>176</v>
      </c>
      <c r="R25" s="159" t="s">
        <v>156</v>
      </c>
      <c r="S25" s="51"/>
      <c r="T25" s="1"/>
    </row>
    <row r="26" spans="1:20">
      <c r="A26" s="159" t="s">
        <v>213</v>
      </c>
      <c r="B26" s="264" t="s">
        <v>145</v>
      </c>
      <c r="C26" s="297" t="s">
        <v>107</v>
      </c>
      <c r="D26" s="243" t="s">
        <v>177</v>
      </c>
      <c r="E26" s="243" t="s">
        <v>97</v>
      </c>
      <c r="F26" s="243" t="s">
        <v>63</v>
      </c>
      <c r="G26" s="243" t="s">
        <v>87</v>
      </c>
      <c r="H26" s="243" t="s">
        <v>80</v>
      </c>
      <c r="I26" s="243" t="s">
        <v>73</v>
      </c>
      <c r="J26" s="243" t="s">
        <v>70</v>
      </c>
      <c r="K26" s="243" t="s">
        <v>156</v>
      </c>
      <c r="L26" s="243" t="s">
        <v>54</v>
      </c>
      <c r="M26" s="298" t="s">
        <v>46</v>
      </c>
      <c r="N26" s="110" t="s">
        <v>143</v>
      </c>
      <c r="O26" s="2" t="s">
        <v>90</v>
      </c>
      <c r="P26" s="2" t="s">
        <v>171</v>
      </c>
      <c r="Q26" s="2" t="s">
        <v>176</v>
      </c>
      <c r="R26" s="159" t="s">
        <v>99</v>
      </c>
      <c r="S26" s="51"/>
      <c r="T26" s="1"/>
    </row>
    <row r="27" spans="1:20">
      <c r="A27" s="159" t="s">
        <v>214</v>
      </c>
      <c r="B27" s="264" t="s">
        <v>153</v>
      </c>
      <c r="C27" s="297" t="s">
        <v>179</v>
      </c>
      <c r="D27" s="243" t="s">
        <v>176</v>
      </c>
      <c r="E27" s="243" t="s">
        <v>97</v>
      </c>
      <c r="F27" s="243" t="s">
        <v>63</v>
      </c>
      <c r="G27" s="243" t="s">
        <v>52</v>
      </c>
      <c r="H27" s="243" t="s">
        <v>90</v>
      </c>
      <c r="I27" s="243" t="s">
        <v>73</v>
      </c>
      <c r="J27" s="243" t="s">
        <v>70</v>
      </c>
      <c r="K27" s="243" t="s">
        <v>92</v>
      </c>
      <c r="L27" s="243" t="s">
        <v>54</v>
      </c>
      <c r="M27" s="298" t="s">
        <v>114</v>
      </c>
      <c r="N27" s="110" t="s">
        <v>46</v>
      </c>
      <c r="O27" s="2" t="s">
        <v>99</v>
      </c>
      <c r="P27" s="2" t="s">
        <v>156</v>
      </c>
      <c r="Q27" s="2" t="s">
        <v>177</v>
      </c>
      <c r="R27" s="159" t="s">
        <v>171</v>
      </c>
      <c r="S27" s="51"/>
      <c r="T27" s="1"/>
    </row>
    <row r="28" spans="1:20">
      <c r="A28" s="159" t="s">
        <v>215</v>
      </c>
      <c r="B28" s="264" t="s">
        <v>159</v>
      </c>
      <c r="C28" s="297" t="s">
        <v>179</v>
      </c>
      <c r="D28" s="243" t="s">
        <v>176</v>
      </c>
      <c r="E28" s="243" t="s">
        <v>97</v>
      </c>
      <c r="F28" s="243" t="s">
        <v>63</v>
      </c>
      <c r="G28" s="243" t="s">
        <v>52</v>
      </c>
      <c r="H28" s="243" t="s">
        <v>90</v>
      </c>
      <c r="I28" s="243" t="s">
        <v>73</v>
      </c>
      <c r="J28" s="243" t="s">
        <v>70</v>
      </c>
      <c r="K28" s="243" t="s">
        <v>92</v>
      </c>
      <c r="L28" s="243" t="s">
        <v>54</v>
      </c>
      <c r="M28" s="298" t="s">
        <v>114</v>
      </c>
      <c r="N28" s="110" t="s">
        <v>87</v>
      </c>
      <c r="O28" s="2" t="s">
        <v>80</v>
      </c>
      <c r="P28" s="2" t="s">
        <v>140</v>
      </c>
      <c r="Q28" s="2" t="s">
        <v>171</v>
      </c>
      <c r="R28" s="159" t="s">
        <v>46</v>
      </c>
      <c r="S28" s="51"/>
      <c r="T28" s="1"/>
    </row>
    <row r="29" spans="1:20">
      <c r="A29" s="159" t="s">
        <v>216</v>
      </c>
      <c r="B29" s="264" t="s">
        <v>78</v>
      </c>
      <c r="C29" s="297" t="s">
        <v>179</v>
      </c>
      <c r="D29" s="243" t="s">
        <v>176</v>
      </c>
      <c r="E29" s="243" t="s">
        <v>97</v>
      </c>
      <c r="F29" s="243" t="s">
        <v>63</v>
      </c>
      <c r="G29" s="243" t="s">
        <v>52</v>
      </c>
      <c r="H29" s="243" t="s">
        <v>90</v>
      </c>
      <c r="I29" s="243" t="s">
        <v>73</v>
      </c>
      <c r="J29" s="243" t="s">
        <v>70</v>
      </c>
      <c r="K29" s="243" t="s">
        <v>140</v>
      </c>
      <c r="L29" s="243" t="s">
        <v>171</v>
      </c>
      <c r="M29" s="298" t="s">
        <v>114</v>
      </c>
      <c r="N29" s="110" t="s">
        <v>143</v>
      </c>
      <c r="O29" s="2" t="s">
        <v>170</v>
      </c>
      <c r="P29" s="2" t="s">
        <v>156</v>
      </c>
      <c r="Q29" s="159" t="s">
        <v>177</v>
      </c>
      <c r="R29" s="159" t="s">
        <v>87</v>
      </c>
      <c r="S29" s="51"/>
      <c r="T29" s="1"/>
    </row>
    <row r="30" spans="1:20">
      <c r="A30" s="159" t="s">
        <v>217</v>
      </c>
      <c r="B30" s="264" t="s">
        <v>155</v>
      </c>
      <c r="C30" s="297" t="s">
        <v>179</v>
      </c>
      <c r="D30" s="243" t="s">
        <v>176</v>
      </c>
      <c r="E30" s="243" t="s">
        <v>97</v>
      </c>
      <c r="F30" s="243" t="s">
        <v>63</v>
      </c>
      <c r="G30" s="243" t="s">
        <v>52</v>
      </c>
      <c r="H30" s="243" t="s">
        <v>90</v>
      </c>
      <c r="I30" s="243" t="s">
        <v>73</v>
      </c>
      <c r="J30" s="243" t="s">
        <v>70</v>
      </c>
      <c r="K30" s="243" t="s">
        <v>140</v>
      </c>
      <c r="L30" s="243" t="s">
        <v>171</v>
      </c>
      <c r="M30" s="298" t="s">
        <v>114</v>
      </c>
      <c r="N30" s="110" t="s">
        <v>46</v>
      </c>
      <c r="O30" s="2" t="s">
        <v>54</v>
      </c>
      <c r="P30" s="2" t="s">
        <v>99</v>
      </c>
      <c r="Q30" s="159" t="s">
        <v>170</v>
      </c>
      <c r="R30" s="159" t="s">
        <v>87</v>
      </c>
      <c r="S30" s="51"/>
      <c r="T30" s="1"/>
    </row>
    <row r="31" spans="1:20">
      <c r="A31" s="159" t="s">
        <v>218</v>
      </c>
      <c r="B31" s="264" t="s">
        <v>118</v>
      </c>
      <c r="C31" s="297" t="s">
        <v>179</v>
      </c>
      <c r="D31" s="243" t="s">
        <v>177</v>
      </c>
      <c r="E31" s="243" t="s">
        <v>97</v>
      </c>
      <c r="F31" s="243" t="s">
        <v>63</v>
      </c>
      <c r="G31" s="243" t="s">
        <v>99</v>
      </c>
      <c r="H31" s="243" t="s">
        <v>90</v>
      </c>
      <c r="I31" s="243" t="s">
        <v>176</v>
      </c>
      <c r="J31" s="243" t="s">
        <v>70</v>
      </c>
      <c r="K31" s="243" t="s">
        <v>140</v>
      </c>
      <c r="L31" s="243" t="s">
        <v>54</v>
      </c>
      <c r="M31" s="298" t="s">
        <v>46</v>
      </c>
      <c r="N31" s="110" t="s">
        <v>171</v>
      </c>
      <c r="O31" s="2" t="s">
        <v>114</v>
      </c>
      <c r="P31" s="2" t="s">
        <v>87</v>
      </c>
      <c r="Q31" s="159" t="s">
        <v>143</v>
      </c>
      <c r="R31" s="159" t="s">
        <v>178</v>
      </c>
      <c r="S31" s="51"/>
      <c r="T31" s="1"/>
    </row>
    <row r="32" spans="1:20">
      <c r="A32" s="159" t="s">
        <v>219</v>
      </c>
      <c r="B32" s="264" t="s">
        <v>147</v>
      </c>
      <c r="C32" s="297" t="s">
        <v>179</v>
      </c>
      <c r="D32" s="243" t="s">
        <v>176</v>
      </c>
      <c r="E32" s="243" t="s">
        <v>97</v>
      </c>
      <c r="F32" s="243" t="s">
        <v>63</v>
      </c>
      <c r="G32" s="243" t="s">
        <v>99</v>
      </c>
      <c r="H32" s="243" t="s">
        <v>90</v>
      </c>
      <c r="I32" s="243" t="s">
        <v>73</v>
      </c>
      <c r="J32" s="243" t="s">
        <v>143</v>
      </c>
      <c r="K32" s="243" t="s">
        <v>140</v>
      </c>
      <c r="L32" s="243" t="s">
        <v>54</v>
      </c>
      <c r="M32" s="298" t="s">
        <v>46</v>
      </c>
      <c r="N32" s="110" t="s">
        <v>220</v>
      </c>
      <c r="O32" s="2" t="s">
        <v>87</v>
      </c>
      <c r="P32" s="2" t="s">
        <v>156</v>
      </c>
      <c r="Q32" s="159" t="s">
        <v>114</v>
      </c>
      <c r="R32" s="159"/>
      <c r="S32" s="51"/>
      <c r="T32" s="1"/>
    </row>
    <row r="33" spans="1:20">
      <c r="A33" s="159" t="s">
        <v>221</v>
      </c>
      <c r="B33" s="264" t="s">
        <v>151</v>
      </c>
      <c r="C33" s="297" t="s">
        <v>179</v>
      </c>
      <c r="D33" s="243" t="s">
        <v>176</v>
      </c>
      <c r="E33" s="243" t="s">
        <v>97</v>
      </c>
      <c r="F33" s="243" t="s">
        <v>63</v>
      </c>
      <c r="G33" s="243" t="s">
        <v>99</v>
      </c>
      <c r="H33" s="243" t="s">
        <v>90</v>
      </c>
      <c r="I33" s="243" t="s">
        <v>73</v>
      </c>
      <c r="J33" s="243" t="s">
        <v>70</v>
      </c>
      <c r="K33" s="243" t="s">
        <v>140</v>
      </c>
      <c r="L33" s="243" t="s">
        <v>54</v>
      </c>
      <c r="M33" s="298" t="s">
        <v>114</v>
      </c>
      <c r="N33" s="110" t="s">
        <v>177</v>
      </c>
      <c r="O33" s="2" t="s">
        <v>87</v>
      </c>
      <c r="P33" s="2" t="s">
        <v>156</v>
      </c>
      <c r="Q33" s="159" t="s">
        <v>143</v>
      </c>
      <c r="R33" s="159" t="s">
        <v>171</v>
      </c>
      <c r="S33" s="51"/>
      <c r="T33" s="1"/>
    </row>
    <row r="34" spans="1:20">
      <c r="A34" s="159" t="s">
        <v>222</v>
      </c>
      <c r="B34" s="264" t="s">
        <v>142</v>
      </c>
      <c r="C34" s="297" t="s">
        <v>179</v>
      </c>
      <c r="D34" s="243" t="s">
        <v>176</v>
      </c>
      <c r="E34" s="243" t="s">
        <v>97</v>
      </c>
      <c r="F34" s="243" t="s">
        <v>63</v>
      </c>
      <c r="G34" s="243" t="s">
        <v>87</v>
      </c>
      <c r="H34" s="243" t="s">
        <v>90</v>
      </c>
      <c r="I34" s="243" t="s">
        <v>73</v>
      </c>
      <c r="J34" s="243" t="s">
        <v>70</v>
      </c>
      <c r="K34" s="243" t="s">
        <v>140</v>
      </c>
      <c r="L34" s="243" t="s">
        <v>54</v>
      </c>
      <c r="M34" s="298" t="s">
        <v>171</v>
      </c>
      <c r="N34" s="110" t="s">
        <v>46</v>
      </c>
      <c r="O34" s="2" t="s">
        <v>177</v>
      </c>
      <c r="P34" s="2" t="s">
        <v>99</v>
      </c>
      <c r="Q34" s="159" t="s">
        <v>220</v>
      </c>
      <c r="R34" s="159" t="s">
        <v>143</v>
      </c>
      <c r="S34" s="51"/>
      <c r="T34" s="1"/>
    </row>
    <row r="35" spans="1:20">
      <c r="A35" s="159" t="s">
        <v>223</v>
      </c>
      <c r="B35" s="264" t="s">
        <v>145</v>
      </c>
      <c r="C35" s="297" t="s">
        <v>179</v>
      </c>
      <c r="D35" s="243" t="s">
        <v>176</v>
      </c>
      <c r="E35" s="243" t="s">
        <v>97</v>
      </c>
      <c r="F35" s="243" t="s">
        <v>63</v>
      </c>
      <c r="G35" s="243" t="s">
        <v>87</v>
      </c>
      <c r="H35" s="243" t="s">
        <v>90</v>
      </c>
      <c r="I35" s="243" t="s">
        <v>73</v>
      </c>
      <c r="J35" s="243" t="s">
        <v>70</v>
      </c>
      <c r="K35" s="243" t="s">
        <v>156</v>
      </c>
      <c r="L35" s="243" t="s">
        <v>54</v>
      </c>
      <c r="M35" s="298" t="s">
        <v>114</v>
      </c>
      <c r="N35" s="110" t="s">
        <v>46</v>
      </c>
      <c r="O35" s="2" t="s">
        <v>171</v>
      </c>
      <c r="P35" s="2" t="s">
        <v>140</v>
      </c>
      <c r="Q35" s="159" t="s">
        <v>220</v>
      </c>
      <c r="R35" s="159" t="s">
        <v>170</v>
      </c>
      <c r="S35" s="51"/>
      <c r="T35" s="1"/>
    </row>
    <row r="36" spans="1:20">
      <c r="A36" s="159" t="s">
        <v>224</v>
      </c>
      <c r="B36" s="264" t="s">
        <v>161</v>
      </c>
      <c r="C36" s="297" t="s">
        <v>107</v>
      </c>
      <c r="D36" s="243" t="s">
        <v>176</v>
      </c>
      <c r="E36" s="243" t="s">
        <v>97</v>
      </c>
      <c r="F36" s="243" t="s">
        <v>63</v>
      </c>
      <c r="G36" s="243" t="s">
        <v>80</v>
      </c>
      <c r="H36" s="243" t="s">
        <v>90</v>
      </c>
      <c r="I36" s="243" t="s">
        <v>73</v>
      </c>
      <c r="J36" s="243" t="s">
        <v>70</v>
      </c>
      <c r="K36" s="243" t="s">
        <v>87</v>
      </c>
      <c r="L36" s="243" t="s">
        <v>54</v>
      </c>
      <c r="M36" s="298" t="s">
        <v>171</v>
      </c>
      <c r="N36" s="110" t="s">
        <v>46</v>
      </c>
      <c r="O36" s="2" t="s">
        <v>140</v>
      </c>
      <c r="P36" s="2" t="s">
        <v>99</v>
      </c>
      <c r="Q36" s="159"/>
      <c r="R36" s="159"/>
      <c r="S36" s="51"/>
      <c r="T36" s="1"/>
    </row>
    <row r="37" spans="1:20">
      <c r="A37" s="159" t="s">
        <v>225</v>
      </c>
      <c r="B37" s="264" t="s">
        <v>139</v>
      </c>
      <c r="C37" s="297" t="s">
        <v>107</v>
      </c>
      <c r="D37" s="243" t="s">
        <v>176</v>
      </c>
      <c r="E37" s="243" t="s">
        <v>97</v>
      </c>
      <c r="F37" s="243" t="s">
        <v>63</v>
      </c>
      <c r="G37" s="243" t="s">
        <v>80</v>
      </c>
      <c r="H37" s="243" t="s">
        <v>90</v>
      </c>
      <c r="I37" s="243" t="s">
        <v>73</v>
      </c>
      <c r="J37" s="243" t="s">
        <v>70</v>
      </c>
      <c r="K37" s="243" t="s">
        <v>140</v>
      </c>
      <c r="L37" s="243" t="s">
        <v>54</v>
      </c>
      <c r="M37" s="298" t="s">
        <v>46</v>
      </c>
      <c r="N37" s="110" t="s">
        <v>87</v>
      </c>
      <c r="O37" s="2" t="s">
        <v>171</v>
      </c>
      <c r="P37" s="2" t="s">
        <v>177</v>
      </c>
      <c r="Q37" s="2" t="s">
        <v>143</v>
      </c>
      <c r="R37" s="159" t="s">
        <v>114</v>
      </c>
      <c r="S37" s="51"/>
      <c r="T37" s="1"/>
    </row>
    <row r="38" spans="1:20">
      <c r="A38" s="159" t="s">
        <v>226</v>
      </c>
      <c r="B38" s="264" t="s">
        <v>149</v>
      </c>
      <c r="C38" s="297" t="s">
        <v>180</v>
      </c>
      <c r="D38" s="243" t="s">
        <v>176</v>
      </c>
      <c r="E38" s="243" t="s">
        <v>97</v>
      </c>
      <c r="F38" s="243" t="s">
        <v>63</v>
      </c>
      <c r="G38" s="243" t="s">
        <v>80</v>
      </c>
      <c r="H38" s="243" t="s">
        <v>90</v>
      </c>
      <c r="I38" s="243" t="s">
        <v>73</v>
      </c>
      <c r="J38" s="243" t="s">
        <v>92</v>
      </c>
      <c r="K38" s="243" t="s">
        <v>87</v>
      </c>
      <c r="L38" s="243" t="s">
        <v>54</v>
      </c>
      <c r="M38" s="298" t="s">
        <v>171</v>
      </c>
      <c r="N38" s="110" t="s">
        <v>177</v>
      </c>
      <c r="O38" s="2" t="s">
        <v>46</v>
      </c>
      <c r="P38" s="2" t="s">
        <v>70</v>
      </c>
      <c r="Q38" s="2" t="s">
        <v>140</v>
      </c>
      <c r="R38" s="159" t="s">
        <v>114</v>
      </c>
      <c r="S38" s="51"/>
      <c r="T38" s="1"/>
    </row>
    <row r="39" spans="1:20">
      <c r="A39" s="159" t="s">
        <v>227</v>
      </c>
      <c r="B39" s="390" t="s">
        <v>164</v>
      </c>
      <c r="C39" s="297"/>
      <c r="D39" s="243"/>
      <c r="E39" s="243"/>
      <c r="F39" s="243"/>
      <c r="G39" s="243"/>
      <c r="H39" s="243"/>
      <c r="I39" s="243"/>
      <c r="J39" s="243"/>
      <c r="K39" s="243"/>
      <c r="L39" s="243"/>
      <c r="M39" s="298"/>
      <c r="N39" s="110"/>
      <c r="O39" s="2"/>
      <c r="P39" s="2"/>
      <c r="Q39" s="2"/>
      <c r="R39" s="159"/>
      <c r="S39" s="51"/>
      <c r="T39" s="1"/>
    </row>
    <row r="40" spans="1:20" ht="17.5" customHeight="1" thickBot="1">
      <c r="A40" s="159" t="s">
        <v>228</v>
      </c>
      <c r="B40" s="390" t="s">
        <v>153</v>
      </c>
      <c r="C40" s="299"/>
      <c r="D40" s="300"/>
      <c r="E40" s="300"/>
      <c r="F40" s="300"/>
      <c r="G40" s="300"/>
      <c r="H40" s="300"/>
      <c r="I40" s="300"/>
      <c r="J40" s="300"/>
      <c r="K40" s="300"/>
      <c r="L40" s="300"/>
      <c r="M40" s="301"/>
      <c r="N40" s="100"/>
      <c r="O40" s="146"/>
      <c r="P40" s="146"/>
      <c r="Q40" s="146"/>
      <c r="R40" s="177"/>
      <c r="S40" s="52"/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3"/>
  <sheetViews>
    <sheetView workbookViewId="0">
      <selection activeCell="E27" sqref="E27"/>
    </sheetView>
  </sheetViews>
  <sheetFormatPr defaultRowHeight="17"/>
  <cols>
    <col min="3" max="3" width="10.33203125" style="452" bestFit="1" customWidth="1"/>
  </cols>
  <sheetData>
    <row r="1" spans="2:8">
      <c r="B1" s="265" t="s">
        <v>229</v>
      </c>
    </row>
    <row r="2" spans="2:8">
      <c r="B2" s="89" t="s">
        <v>230</v>
      </c>
      <c r="C2" s="89" t="s">
        <v>231</v>
      </c>
      <c r="D2" s="89" t="s">
        <v>232</v>
      </c>
      <c r="E2" s="89" t="s">
        <v>233</v>
      </c>
      <c r="F2" s="89" t="s">
        <v>234</v>
      </c>
      <c r="G2" s="89" t="s">
        <v>235</v>
      </c>
      <c r="H2" s="1"/>
    </row>
    <row r="3" spans="2:8">
      <c r="B3" s="4" t="s">
        <v>179</v>
      </c>
      <c r="C3" s="4" t="s">
        <v>176</v>
      </c>
      <c r="D3" s="4" t="s">
        <v>99</v>
      </c>
      <c r="E3" s="4" t="s">
        <v>73</v>
      </c>
      <c r="F3" s="4" t="s">
        <v>70</v>
      </c>
      <c r="G3" s="4" t="s">
        <v>46</v>
      </c>
      <c r="H3" s="4" t="s">
        <v>26</v>
      </c>
    </row>
    <row r="4" spans="2:8">
      <c r="B4" s="5" t="s">
        <v>107</v>
      </c>
      <c r="C4" s="4" t="s">
        <v>97</v>
      </c>
      <c r="D4" s="4" t="s">
        <v>52</v>
      </c>
      <c r="E4" s="4" t="s">
        <v>90</v>
      </c>
      <c r="F4" s="4" t="s">
        <v>140</v>
      </c>
      <c r="G4" s="4" t="s">
        <v>54</v>
      </c>
      <c r="H4" s="5" t="s">
        <v>27</v>
      </c>
    </row>
    <row r="5" spans="2:8">
      <c r="B5" s="2" t="s">
        <v>180</v>
      </c>
      <c r="C5" s="5" t="s">
        <v>178</v>
      </c>
      <c r="D5" s="5" t="s">
        <v>87</v>
      </c>
      <c r="E5" s="5" t="s">
        <v>171</v>
      </c>
      <c r="F5" s="5" t="s">
        <v>156</v>
      </c>
      <c r="G5" s="5" t="s">
        <v>114</v>
      </c>
      <c r="H5" s="1"/>
    </row>
    <row r="6" spans="2:8">
      <c r="B6" s="2" t="s">
        <v>181</v>
      </c>
      <c r="C6" s="2" t="s">
        <v>236</v>
      </c>
      <c r="D6" s="2" t="s">
        <v>237</v>
      </c>
      <c r="E6" s="5" t="s">
        <v>80</v>
      </c>
      <c r="F6" s="2" t="s">
        <v>165</v>
      </c>
      <c r="G6" s="2" t="s">
        <v>126</v>
      </c>
      <c r="H6" s="1"/>
    </row>
    <row r="7" spans="2:8">
      <c r="B7" s="2" t="s">
        <v>238</v>
      </c>
      <c r="C7" s="2" t="s">
        <v>239</v>
      </c>
      <c r="D7" s="2"/>
      <c r="E7" s="1" t="s">
        <v>170</v>
      </c>
      <c r="F7" s="2" t="s">
        <v>113</v>
      </c>
      <c r="G7" s="2" t="s">
        <v>162</v>
      </c>
      <c r="H7" s="1"/>
    </row>
    <row r="8" spans="2:8">
      <c r="B8" s="2"/>
      <c r="C8" s="2"/>
      <c r="D8" s="2"/>
      <c r="E8" s="2" t="s">
        <v>174</v>
      </c>
      <c r="F8" s="2"/>
      <c r="G8" s="2" t="s">
        <v>92</v>
      </c>
      <c r="H8" s="1"/>
    </row>
    <row r="9" spans="2:8">
      <c r="B9" s="2"/>
      <c r="C9" s="2"/>
      <c r="D9" s="2"/>
      <c r="E9" s="2" t="s">
        <v>175</v>
      </c>
      <c r="F9" s="2"/>
      <c r="G9" s="2" t="s">
        <v>240</v>
      </c>
      <c r="H9" s="1"/>
    </row>
    <row r="10" spans="2:8">
      <c r="B10" s="2"/>
      <c r="C10" s="2"/>
      <c r="D10" s="2"/>
      <c r="E10" s="2" t="s">
        <v>172</v>
      </c>
      <c r="F10" s="2"/>
      <c r="G10" s="2"/>
      <c r="H10" s="1"/>
    </row>
    <row r="11" spans="2:8">
      <c r="B11" s="2"/>
      <c r="C11" s="2"/>
      <c r="D11" s="2"/>
      <c r="E11" s="2" t="s">
        <v>241</v>
      </c>
      <c r="F11" s="2"/>
      <c r="G11" s="2"/>
      <c r="H11" s="1"/>
    </row>
    <row r="12" spans="2:8">
      <c r="B12" s="265" t="s">
        <v>242</v>
      </c>
    </row>
    <row r="13" spans="2:8">
      <c r="B13" s="2" t="s">
        <v>108</v>
      </c>
      <c r="C13" s="2" t="s">
        <v>220</v>
      </c>
      <c r="D13" s="2" t="s">
        <v>105</v>
      </c>
      <c r="E13" s="2" t="s">
        <v>112</v>
      </c>
      <c r="F13" s="2" t="s">
        <v>189</v>
      </c>
      <c r="G13" s="2" t="s">
        <v>111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36"/>
  <sheetViews>
    <sheetView topLeftCell="A19" workbookViewId="0">
      <selection activeCell="B2" sqref="B2:D36"/>
    </sheetView>
  </sheetViews>
  <sheetFormatPr defaultRowHeight="17"/>
  <sheetData>
    <row r="2" spans="2:4">
      <c r="B2" s="249" t="s">
        <v>34</v>
      </c>
      <c r="C2" s="249" t="s">
        <v>66</v>
      </c>
      <c r="D2" s="249" t="s">
        <v>66</v>
      </c>
    </row>
    <row r="3" spans="2:4">
      <c r="B3" s="250">
        <v>44</v>
      </c>
      <c r="C3" s="251" t="s">
        <v>75</v>
      </c>
      <c r="D3" s="252"/>
    </row>
    <row r="4" spans="2:4">
      <c r="B4" s="250">
        <v>43</v>
      </c>
      <c r="C4" s="252"/>
      <c r="D4" s="252"/>
    </row>
    <row r="5" spans="2:4">
      <c r="B5" s="250">
        <v>42</v>
      </c>
      <c r="C5" s="252"/>
      <c r="D5" s="252"/>
    </row>
    <row r="6" spans="2:4">
      <c r="B6" s="250">
        <v>41</v>
      </c>
      <c r="C6" s="252"/>
      <c r="D6" s="252"/>
    </row>
    <row r="7" spans="2:4">
      <c r="B7" s="250">
        <v>40</v>
      </c>
      <c r="C7" s="252"/>
      <c r="D7" s="252"/>
    </row>
    <row r="8" spans="2:4">
      <c r="B8" s="250">
        <v>39</v>
      </c>
      <c r="C8" s="252"/>
      <c r="D8" s="252"/>
    </row>
    <row r="9" spans="2:4">
      <c r="B9" s="250">
        <v>38</v>
      </c>
      <c r="C9" s="252"/>
      <c r="D9" s="252"/>
    </row>
    <row r="10" spans="2:4">
      <c r="B10" s="250">
        <v>37</v>
      </c>
      <c r="C10" s="252"/>
      <c r="D10" s="252"/>
    </row>
    <row r="11" spans="2:4">
      <c r="B11" s="250">
        <v>36</v>
      </c>
      <c r="C11" s="252"/>
      <c r="D11" s="252"/>
    </row>
    <row r="12" spans="2:4">
      <c r="B12" s="250">
        <v>35</v>
      </c>
      <c r="C12" s="252"/>
      <c r="D12" s="252"/>
    </row>
    <row r="13" spans="2:4">
      <c r="B13" s="250">
        <v>34</v>
      </c>
      <c r="C13" s="253" t="s">
        <v>142</v>
      </c>
      <c r="D13" s="252"/>
    </row>
    <row r="14" spans="2:4">
      <c r="B14" s="250">
        <v>33</v>
      </c>
      <c r="C14" s="252"/>
      <c r="D14" s="252"/>
    </row>
    <row r="15" spans="2:4">
      <c r="B15" s="250">
        <v>32</v>
      </c>
      <c r="C15" s="252"/>
      <c r="D15" s="252"/>
    </row>
    <row r="16" spans="2:4">
      <c r="B16" s="250">
        <v>31</v>
      </c>
      <c r="C16" s="252"/>
      <c r="D16" s="252"/>
    </row>
    <row r="17" spans="2:4">
      <c r="B17" s="250">
        <v>30</v>
      </c>
      <c r="C17" s="254" t="s">
        <v>164</v>
      </c>
      <c r="D17" s="252"/>
    </row>
    <row r="18" spans="2:4">
      <c r="B18" s="250">
        <v>29</v>
      </c>
      <c r="C18" s="255" t="s">
        <v>149</v>
      </c>
      <c r="D18" s="252"/>
    </row>
    <row r="19" spans="2:4">
      <c r="B19" s="250">
        <v>28</v>
      </c>
      <c r="C19" s="256" t="s">
        <v>147</v>
      </c>
      <c r="D19" s="257" t="s">
        <v>78</v>
      </c>
    </row>
    <row r="20" spans="2:4">
      <c r="B20" s="250">
        <v>27</v>
      </c>
      <c r="C20" s="252"/>
      <c r="D20" s="252"/>
    </row>
    <row r="21" spans="2:4">
      <c r="B21" s="250">
        <v>26</v>
      </c>
      <c r="C21" s="252"/>
      <c r="D21" s="252"/>
    </row>
    <row r="22" spans="2:4">
      <c r="B22" s="250">
        <v>25</v>
      </c>
      <c r="C22" s="252"/>
      <c r="D22" s="252"/>
    </row>
    <row r="23" spans="2:4">
      <c r="B23" s="250">
        <v>24</v>
      </c>
      <c r="C23" s="258" t="s">
        <v>159</v>
      </c>
      <c r="D23" s="252"/>
    </row>
    <row r="24" spans="2:4">
      <c r="B24" s="250">
        <v>23</v>
      </c>
      <c r="C24" s="252"/>
      <c r="D24" s="252"/>
    </row>
    <row r="25" spans="2:4">
      <c r="B25" s="250">
        <v>22</v>
      </c>
      <c r="C25" s="252"/>
      <c r="D25" s="252"/>
    </row>
    <row r="26" spans="2:4">
      <c r="B26" s="250">
        <v>21</v>
      </c>
      <c r="C26" s="259" t="s">
        <v>145</v>
      </c>
      <c r="D26" s="252"/>
    </row>
    <row r="27" spans="2:4">
      <c r="B27" s="250">
        <v>20</v>
      </c>
      <c r="C27" s="260" t="s">
        <v>118</v>
      </c>
      <c r="D27" s="252"/>
    </row>
    <row r="28" spans="2:4">
      <c r="B28" s="250">
        <v>19</v>
      </c>
      <c r="C28" s="252"/>
      <c r="D28" s="252"/>
    </row>
    <row r="29" spans="2:4">
      <c r="B29" s="250">
        <v>18</v>
      </c>
      <c r="C29" s="252"/>
      <c r="D29" s="252"/>
    </row>
    <row r="30" spans="2:4">
      <c r="B30" s="250">
        <v>17</v>
      </c>
      <c r="C30" s="257" t="s">
        <v>139</v>
      </c>
      <c r="D30" s="252"/>
    </row>
    <row r="31" spans="2:4">
      <c r="B31" s="250">
        <v>16</v>
      </c>
      <c r="C31" s="261" t="s">
        <v>161</v>
      </c>
      <c r="D31" s="252"/>
    </row>
    <row r="32" spans="2:4">
      <c r="B32" s="250">
        <v>15</v>
      </c>
      <c r="C32" s="252"/>
      <c r="D32" s="252"/>
    </row>
    <row r="33" spans="2:4">
      <c r="B33" s="250">
        <v>14</v>
      </c>
      <c r="C33" s="252"/>
      <c r="D33" s="252"/>
    </row>
    <row r="34" spans="2:4">
      <c r="B34" s="250">
        <v>13</v>
      </c>
      <c r="C34" s="256" t="s">
        <v>153</v>
      </c>
      <c r="D34" s="262" t="s">
        <v>151</v>
      </c>
    </row>
    <row r="35" spans="2:4">
      <c r="B35" s="250">
        <v>12</v>
      </c>
      <c r="C35" s="252"/>
      <c r="D35" s="252"/>
    </row>
    <row r="36" spans="2:4">
      <c r="B36" s="250">
        <v>11</v>
      </c>
      <c r="C36" s="263" t="s">
        <v>155</v>
      </c>
      <c r="D36" s="25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51"/>
  <sheetViews>
    <sheetView showGridLines="0" zoomScale="85" zoomScaleNormal="85" workbookViewId="0">
      <selection activeCell="AM6" sqref="AM6"/>
    </sheetView>
  </sheetViews>
  <sheetFormatPr defaultRowHeight="17"/>
  <cols>
    <col min="2" max="2" width="10.75" style="18" bestFit="1" customWidth="1"/>
    <col min="3" max="3" width="6.58203125" style="18" bestFit="1" customWidth="1"/>
    <col min="4" max="4" width="7.33203125" style="18" bestFit="1" customWidth="1"/>
    <col min="5" max="5" width="7.08203125" style="18" customWidth="1"/>
    <col min="6" max="7" width="5.5" style="18" customWidth="1"/>
    <col min="8" max="8" width="5.08203125" style="18" bestFit="1" customWidth="1"/>
    <col min="9" max="9" width="11.1640625" style="18" hidden="1" customWidth="1"/>
    <col min="10" max="11" width="6.9140625" style="18" hidden="1" customWidth="1"/>
    <col min="12" max="18" width="11" style="452" customWidth="1"/>
    <col min="19" max="19" width="11.58203125" style="452" customWidth="1"/>
    <col min="20" max="20" width="7.08203125" style="452" customWidth="1"/>
    <col min="21" max="21" width="8.83203125" style="452" customWidth="1"/>
    <col min="22" max="22" width="10" style="452" bestFit="1" customWidth="1"/>
    <col min="23" max="23" width="12.58203125" style="452" bestFit="1" customWidth="1"/>
    <col min="24" max="24" width="11" style="452" bestFit="1" customWidth="1"/>
    <col min="25" max="30" width="5.58203125" style="452" bestFit="1" customWidth="1"/>
    <col min="31" max="33" width="5.5" style="452" customWidth="1"/>
    <col min="34" max="34" width="9.25" style="452" bestFit="1" customWidth="1"/>
    <col min="35" max="35" width="8.25" style="452" bestFit="1" customWidth="1"/>
    <col min="36" max="36" width="9.25" style="452" bestFit="1" customWidth="1"/>
    <col min="37" max="37" width="5.58203125" style="452" bestFit="1" customWidth="1"/>
    <col min="38" max="38" width="3.75" style="452" bestFit="1" customWidth="1"/>
    <col min="39" max="39" width="4" style="452" bestFit="1" customWidth="1"/>
    <col min="40" max="40" width="3.75" style="452" bestFit="1" customWidth="1"/>
    <col min="41" max="41" width="6.08203125" style="452" bestFit="1" customWidth="1"/>
    <col min="42" max="42" width="8.58203125" style="452" hidden="1" customWidth="1"/>
    <col min="43" max="48" width="9.08203125" style="452" bestFit="1" customWidth="1"/>
    <col min="51" max="51" width="9.08203125" style="452" bestFit="1" customWidth="1"/>
  </cols>
  <sheetData>
    <row r="1" spans="1:57" ht="17.5" customHeight="1" thickBot="1">
      <c r="Y1" t="s">
        <v>0</v>
      </c>
      <c r="AB1" t="s">
        <v>0</v>
      </c>
      <c r="AE1" t="s">
        <v>1</v>
      </c>
    </row>
    <row r="2" spans="1:57" ht="17.5" customHeight="1" thickBot="1">
      <c r="A2" s="115" t="s">
        <v>2</v>
      </c>
      <c r="B2" s="116" t="s">
        <v>3</v>
      </c>
      <c r="C2" s="116" t="s">
        <v>5</v>
      </c>
      <c r="D2" s="116" t="s">
        <v>6</v>
      </c>
      <c r="E2" s="116" t="s">
        <v>7</v>
      </c>
      <c r="F2" s="116" t="s">
        <v>8</v>
      </c>
      <c r="G2" s="116" t="s">
        <v>9</v>
      </c>
      <c r="H2" s="166" t="s">
        <v>10</v>
      </c>
      <c r="I2" s="116" t="s">
        <v>11</v>
      </c>
      <c r="J2" s="116" t="s">
        <v>12</v>
      </c>
      <c r="K2" s="116" t="s">
        <v>13</v>
      </c>
      <c r="L2" s="232" t="s">
        <v>14</v>
      </c>
      <c r="M2" s="233" t="s">
        <v>15</v>
      </c>
      <c r="N2" s="233" t="s">
        <v>16</v>
      </c>
      <c r="O2" s="233" t="s">
        <v>17</v>
      </c>
      <c r="P2" s="234" t="s">
        <v>243</v>
      </c>
      <c r="Q2" s="186" t="s">
        <v>18</v>
      </c>
      <c r="R2" s="117" t="s">
        <v>19</v>
      </c>
      <c r="S2" s="117" t="s">
        <v>20</v>
      </c>
      <c r="T2" s="117" t="s">
        <v>21</v>
      </c>
      <c r="U2" s="48" t="s">
        <v>244</v>
      </c>
      <c r="V2" s="190" t="s">
        <v>22</v>
      </c>
      <c r="X2" s="147" t="s">
        <v>24</v>
      </c>
      <c r="Y2" s="33" t="s">
        <v>25</v>
      </c>
      <c r="Z2" s="34" t="s">
        <v>26</v>
      </c>
      <c r="AA2" s="39" t="s">
        <v>27</v>
      </c>
      <c r="AB2" s="178" t="s">
        <v>8</v>
      </c>
      <c r="AC2" s="38" t="s">
        <v>28</v>
      </c>
      <c r="AD2" s="38" t="s">
        <v>29</v>
      </c>
      <c r="AE2" s="178" t="s">
        <v>8</v>
      </c>
      <c r="AF2" s="38" t="s">
        <v>28</v>
      </c>
      <c r="AG2" s="38" t="s">
        <v>29</v>
      </c>
      <c r="AJ2" s="4" t="s">
        <v>11</v>
      </c>
      <c r="AK2" s="4" t="s">
        <v>30</v>
      </c>
      <c r="AL2" s="4" t="s">
        <v>31</v>
      </c>
      <c r="AM2" s="4" t="s">
        <v>32</v>
      </c>
      <c r="AN2" s="4" t="s">
        <v>33</v>
      </c>
      <c r="AO2" s="4" t="s">
        <v>34</v>
      </c>
      <c r="AP2" s="4" t="s">
        <v>35</v>
      </c>
      <c r="AQ2" s="4" t="s">
        <v>138</v>
      </c>
      <c r="AX2" s="4" t="s">
        <v>245</v>
      </c>
      <c r="AY2" s="4" t="s">
        <v>30</v>
      </c>
      <c r="AZ2" s="4" t="s">
        <v>31</v>
      </c>
      <c r="BA2" s="4" t="s">
        <v>32</v>
      </c>
      <c r="BB2" s="4" t="s">
        <v>33</v>
      </c>
      <c r="BC2" s="4" t="s">
        <v>34</v>
      </c>
      <c r="BD2" s="4" t="s">
        <v>35</v>
      </c>
      <c r="BE2" s="4" t="s">
        <v>138</v>
      </c>
    </row>
    <row r="3" spans="1:57">
      <c r="A3" s="145" t="s">
        <v>42</v>
      </c>
      <c r="B3" s="118">
        <v>45353</v>
      </c>
      <c r="C3" s="99">
        <v>1</v>
      </c>
      <c r="D3" s="99" t="s">
        <v>246</v>
      </c>
      <c r="E3" s="99" t="s">
        <v>45</v>
      </c>
      <c r="F3" s="99">
        <v>0</v>
      </c>
      <c r="G3" s="99">
        <v>1</v>
      </c>
      <c r="H3" s="167" t="s">
        <v>33</v>
      </c>
      <c r="I3" s="99" t="s">
        <v>247</v>
      </c>
      <c r="J3" s="99" t="s">
        <v>248</v>
      </c>
      <c r="K3" s="99" t="s">
        <v>249</v>
      </c>
      <c r="L3" s="229"/>
      <c r="M3" s="230"/>
      <c r="N3" s="230"/>
      <c r="O3" s="230"/>
      <c r="P3" s="231"/>
      <c r="Q3" s="170"/>
      <c r="R3" s="119"/>
      <c r="S3" s="119"/>
      <c r="T3" s="119"/>
      <c r="U3" s="187"/>
      <c r="V3" s="191">
        <v>15060</v>
      </c>
      <c r="X3" s="148" t="s">
        <v>46</v>
      </c>
      <c r="Y3" s="153">
        <f t="shared" ref="Y3:Y43" si="0">Z3+AA3</f>
        <v>35</v>
      </c>
      <c r="Z3" s="2">
        <f>COUNTIF(출전기록!B$2:L$39,'2024 토탈'!X3)</f>
        <v>28</v>
      </c>
      <c r="AA3" s="159">
        <f>COUNTIF(출전기록!M$2:Q$39,'2024 토탈'!X3)</f>
        <v>7</v>
      </c>
      <c r="AB3" s="180">
        <f t="shared" ref="AB3:AB43" si="1">COUNTIF($L$3:$P$40,$X3)</f>
        <v>15</v>
      </c>
      <c r="AC3" s="181">
        <f t="shared" ref="AC3:AC43" si="2">COUNTIF(Q$3:U$40,X3)</f>
        <v>1</v>
      </c>
      <c r="AD3" s="182">
        <f t="shared" ref="AD3:AD43" si="3">AB3+AC3</f>
        <v>16</v>
      </c>
      <c r="AE3" s="179">
        <f t="shared" ref="AE3:AE43" si="4">COUNTIF(L$3:P$46,$X3)</f>
        <v>15</v>
      </c>
      <c r="AF3" s="26">
        <f t="shared" ref="AF3:AF43" si="5">COUNTIF(Q$3:U$46,$X3)</f>
        <v>1</v>
      </c>
      <c r="AG3" s="157">
        <f t="shared" ref="AG3:AG43" si="6">AE3+AF3</f>
        <v>16</v>
      </c>
      <c r="AJ3" s="20" t="s">
        <v>250</v>
      </c>
      <c r="AK3" s="20">
        <f>SUM(AL3:AN3)</f>
        <v>10</v>
      </c>
      <c r="AL3" s="28">
        <f>COUNTIFS(I:I,AJ3,H:H,AL$2)</f>
        <v>3</v>
      </c>
      <c r="AM3" s="28">
        <f>COUNTIFS(I:I,AJ3,H:H,AM$2)</f>
        <v>5</v>
      </c>
      <c r="AN3" s="29">
        <f>COUNTIFS(I:I,AJ3,H:H,AN$2)</f>
        <v>2</v>
      </c>
      <c r="AO3" s="8">
        <f>AL3*3+AM3</f>
        <v>14</v>
      </c>
      <c r="AP3" s="23">
        <f>AL3/AK3</f>
        <v>0.3</v>
      </c>
      <c r="AQ3" s="25">
        <f>AO3/AK3</f>
        <v>1.4</v>
      </c>
      <c r="AX3" s="2" t="s">
        <v>251</v>
      </c>
      <c r="AY3" s="2">
        <f t="shared" ref="AY3:AY9" si="7">SUM(AZ3:BB3)</f>
        <v>5</v>
      </c>
      <c r="AZ3" s="5">
        <f t="shared" ref="AZ3:AZ9" si="8">COUNTIFS(J:J,AX3,H:H,AZ$2)</f>
        <v>2</v>
      </c>
      <c r="BA3" s="6">
        <f t="shared" ref="BA3:BA9" si="9">COUNTIFS(J:J,AX3,H:H,BA$2)</f>
        <v>2</v>
      </c>
      <c r="BB3" s="7">
        <f t="shared" ref="BB3:BB9" si="10">COUNTIFS(J:J,AX3,H:H,BB$2)</f>
        <v>1</v>
      </c>
      <c r="BC3" s="26">
        <f t="shared" ref="BC3:BC9" si="11">AZ3*3+BA3</f>
        <v>8</v>
      </c>
      <c r="BD3" s="11">
        <f t="shared" ref="BD3:BD9" si="12">AZ3/AY3</f>
        <v>0.4</v>
      </c>
      <c r="BE3" s="22">
        <f t="shared" ref="BE3:BE9" si="13">BC3/AY3</f>
        <v>1.6</v>
      </c>
    </row>
    <row r="4" spans="1:57">
      <c r="A4" s="75" t="s">
        <v>42</v>
      </c>
      <c r="B4" s="105">
        <v>45361</v>
      </c>
      <c r="C4" s="30">
        <v>2</v>
      </c>
      <c r="D4" s="30" t="s">
        <v>44</v>
      </c>
      <c r="E4" s="30" t="s">
        <v>49</v>
      </c>
      <c r="F4" s="30">
        <v>0</v>
      </c>
      <c r="G4" s="30">
        <v>0</v>
      </c>
      <c r="H4" s="40" t="s">
        <v>32</v>
      </c>
      <c r="I4" s="30" t="s">
        <v>252</v>
      </c>
      <c r="J4" s="30" t="s">
        <v>253</v>
      </c>
      <c r="K4" s="30" t="s">
        <v>254</v>
      </c>
      <c r="L4" s="53"/>
      <c r="M4" s="15"/>
      <c r="N4" s="15"/>
      <c r="O4" s="15"/>
      <c r="P4" s="54"/>
      <c r="Q4" s="171"/>
      <c r="R4" s="15"/>
      <c r="S4" s="15"/>
      <c r="T4" s="15"/>
      <c r="U4" s="56"/>
      <c r="V4" s="192"/>
      <c r="X4" s="148" t="s">
        <v>70</v>
      </c>
      <c r="Y4" s="153">
        <f t="shared" si="0"/>
        <v>24</v>
      </c>
      <c r="Z4" s="2">
        <f>COUNTIF(출전기록!B$2:L$39,'2024 토탈'!X4)</f>
        <v>15</v>
      </c>
      <c r="AA4" s="159">
        <f>COUNTIF(출전기록!M$2:Q$39,'2024 토탈'!X4)</f>
        <v>9</v>
      </c>
      <c r="AB4" s="180">
        <f t="shared" si="1"/>
        <v>7</v>
      </c>
      <c r="AC4" s="181">
        <f t="shared" si="2"/>
        <v>4</v>
      </c>
      <c r="AD4" s="182">
        <f t="shared" si="3"/>
        <v>11</v>
      </c>
      <c r="AE4" s="179">
        <f t="shared" si="4"/>
        <v>7</v>
      </c>
      <c r="AF4" s="26">
        <f t="shared" si="5"/>
        <v>5</v>
      </c>
      <c r="AG4" s="157">
        <f t="shared" si="6"/>
        <v>12</v>
      </c>
      <c r="AJ4" s="2" t="s">
        <v>252</v>
      </c>
      <c r="AK4" s="2">
        <f>SUM(AL4:AN4)</f>
        <v>17</v>
      </c>
      <c r="AL4" s="28">
        <f>COUNTIFS(I:I,AJ4,H:H,AL$2)</f>
        <v>4</v>
      </c>
      <c r="AM4" s="28">
        <f>COUNTIFS(I:I,AJ4,H:H,AM$2)</f>
        <v>5</v>
      </c>
      <c r="AN4" s="29">
        <f>COUNTIFS(I:I,AJ4,H:H,AN$2)</f>
        <v>8</v>
      </c>
      <c r="AO4" s="8">
        <f>AL4*3+AM4</f>
        <v>17</v>
      </c>
      <c r="AP4" s="10">
        <f>AL4/AK4</f>
        <v>0.23529411764705882</v>
      </c>
      <c r="AQ4" s="22">
        <f>AO4/AK4</f>
        <v>1</v>
      </c>
      <c r="AX4" s="20" t="s">
        <v>255</v>
      </c>
      <c r="AY4" s="2">
        <f t="shared" si="7"/>
        <v>6</v>
      </c>
      <c r="AZ4" s="5">
        <f t="shared" si="8"/>
        <v>1</v>
      </c>
      <c r="BA4" s="6">
        <f t="shared" si="9"/>
        <v>4</v>
      </c>
      <c r="BB4" s="7">
        <f t="shared" si="10"/>
        <v>1</v>
      </c>
      <c r="BC4" s="26">
        <f t="shared" si="11"/>
        <v>7</v>
      </c>
      <c r="BD4" s="11">
        <f t="shared" si="12"/>
        <v>0.16666666666666666</v>
      </c>
      <c r="BE4" s="22">
        <f t="shared" si="13"/>
        <v>1.1666666666666667</v>
      </c>
    </row>
    <row r="5" spans="1:57">
      <c r="A5" s="75" t="s">
        <v>42</v>
      </c>
      <c r="B5" s="105">
        <v>45368</v>
      </c>
      <c r="C5" s="30">
        <v>3</v>
      </c>
      <c r="D5" s="30" t="s">
        <v>55</v>
      </c>
      <c r="E5" s="30" t="s">
        <v>49</v>
      </c>
      <c r="F5" s="30">
        <v>3</v>
      </c>
      <c r="G5" s="30">
        <v>3</v>
      </c>
      <c r="H5" s="40" t="s">
        <v>32</v>
      </c>
      <c r="I5" s="30" t="s">
        <v>247</v>
      </c>
      <c r="J5" s="30" t="s">
        <v>255</v>
      </c>
      <c r="K5" s="30" t="s">
        <v>249</v>
      </c>
      <c r="L5" s="53" t="s">
        <v>46</v>
      </c>
      <c r="M5" s="15" t="s">
        <v>54</v>
      </c>
      <c r="N5" s="15" t="s">
        <v>46</v>
      </c>
      <c r="O5" s="15"/>
      <c r="P5" s="54"/>
      <c r="Q5" s="171" t="s">
        <v>70</v>
      </c>
      <c r="R5" s="15"/>
      <c r="S5" s="15"/>
      <c r="T5" s="15"/>
      <c r="U5" s="56"/>
      <c r="V5" s="192"/>
      <c r="X5" s="148" t="s">
        <v>54</v>
      </c>
      <c r="Y5" s="153">
        <f t="shared" si="0"/>
        <v>24</v>
      </c>
      <c r="Z5" s="2">
        <f>COUNTIF(출전기록!B$2:L$39,'2024 토탈'!X5)</f>
        <v>19</v>
      </c>
      <c r="AA5" s="159">
        <f>COUNTIF(출전기록!M$2:Q$39,'2024 토탈'!X5)</f>
        <v>5</v>
      </c>
      <c r="AB5" s="180">
        <f t="shared" si="1"/>
        <v>2</v>
      </c>
      <c r="AC5" s="181">
        <f t="shared" si="2"/>
        <v>2</v>
      </c>
      <c r="AD5" s="182">
        <f t="shared" si="3"/>
        <v>4</v>
      </c>
      <c r="AE5" s="179">
        <f t="shared" si="4"/>
        <v>2</v>
      </c>
      <c r="AF5" s="26">
        <f t="shared" si="5"/>
        <v>2</v>
      </c>
      <c r="AG5" s="157">
        <f t="shared" si="6"/>
        <v>4</v>
      </c>
      <c r="AJ5" s="2" t="s">
        <v>256</v>
      </c>
      <c r="AK5" s="2">
        <f>SUM(AL5:AN5)</f>
        <v>4</v>
      </c>
      <c r="AL5" s="28">
        <f>COUNTIFS(I:I,AJ5,H:H,AL$2)</f>
        <v>1</v>
      </c>
      <c r="AM5" s="28">
        <f>COUNTIFS(I:I,AJ5,H:H,AM$2)</f>
        <v>2</v>
      </c>
      <c r="AN5" s="29">
        <f>COUNTIFS(I:I,AJ5,H:H,AN$2)</f>
        <v>1</v>
      </c>
      <c r="AO5" s="8">
        <f>AL5*3+AM5</f>
        <v>5</v>
      </c>
      <c r="AP5" s="10">
        <f>AL5/AK5</f>
        <v>0.25</v>
      </c>
      <c r="AQ5" s="22">
        <f>AO5/AK5</f>
        <v>1.25</v>
      </c>
      <c r="AX5" s="20" t="s">
        <v>257</v>
      </c>
      <c r="AY5" s="2">
        <f t="shared" si="7"/>
        <v>6</v>
      </c>
      <c r="AZ5" s="5">
        <f t="shared" si="8"/>
        <v>2</v>
      </c>
      <c r="BA5" s="6">
        <f t="shared" si="9"/>
        <v>1</v>
      </c>
      <c r="BB5" s="7">
        <f t="shared" si="10"/>
        <v>3</v>
      </c>
      <c r="BC5" s="8">
        <f t="shared" si="11"/>
        <v>7</v>
      </c>
      <c r="BD5" s="11">
        <f t="shared" si="12"/>
        <v>0.33333333333333331</v>
      </c>
      <c r="BE5" s="22">
        <f t="shared" si="13"/>
        <v>1.1666666666666667</v>
      </c>
    </row>
    <row r="6" spans="1:57">
      <c r="A6" s="72" t="s">
        <v>42</v>
      </c>
      <c r="B6" s="105">
        <v>45381</v>
      </c>
      <c r="C6" s="30">
        <v>4</v>
      </c>
      <c r="D6" s="30" t="s">
        <v>61</v>
      </c>
      <c r="E6" s="30" t="s">
        <v>45</v>
      </c>
      <c r="F6" s="30">
        <v>2</v>
      </c>
      <c r="G6" s="30">
        <v>0</v>
      </c>
      <c r="H6" s="40" t="s">
        <v>31</v>
      </c>
      <c r="I6" s="30" t="s">
        <v>247</v>
      </c>
      <c r="J6" s="30" t="s">
        <v>248</v>
      </c>
      <c r="K6" s="30" t="s">
        <v>249</v>
      </c>
      <c r="L6" s="53" t="s">
        <v>70</v>
      </c>
      <c r="M6" s="15" t="s">
        <v>166</v>
      </c>
      <c r="N6" s="15"/>
      <c r="O6" s="15"/>
      <c r="P6" s="54"/>
      <c r="Q6" s="171" t="s">
        <v>54</v>
      </c>
      <c r="R6" s="15"/>
      <c r="S6" s="15"/>
      <c r="T6" s="15"/>
      <c r="U6" s="56"/>
      <c r="V6" s="192">
        <v>11581</v>
      </c>
      <c r="X6" s="148" t="s">
        <v>143</v>
      </c>
      <c r="Y6" s="153">
        <f t="shared" si="0"/>
        <v>21</v>
      </c>
      <c r="Z6" s="2">
        <f>COUNTIF(출전기록!B$2:L$39,'2024 토탈'!X6)</f>
        <v>7</v>
      </c>
      <c r="AA6" s="159">
        <f>COUNTIF(출전기록!M$2:Q$39,'2024 토탈'!X6)</f>
        <v>14</v>
      </c>
      <c r="AB6" s="180">
        <f t="shared" si="1"/>
        <v>1</v>
      </c>
      <c r="AC6" s="181">
        <f t="shared" si="2"/>
        <v>3</v>
      </c>
      <c r="AD6" s="182">
        <f t="shared" si="3"/>
        <v>4</v>
      </c>
      <c r="AE6" s="179">
        <f t="shared" si="4"/>
        <v>1</v>
      </c>
      <c r="AF6" s="26">
        <f t="shared" si="5"/>
        <v>3</v>
      </c>
      <c r="AG6" s="157">
        <f t="shared" si="6"/>
        <v>4</v>
      </c>
      <c r="AJ6" s="2" t="s">
        <v>258</v>
      </c>
      <c r="AK6" s="2">
        <f>SUM(AL6:AN6)</f>
        <v>4</v>
      </c>
      <c r="AL6" s="28">
        <f>COUNTIFS(I:I,AJ6,H:H,AL$2)</f>
        <v>0</v>
      </c>
      <c r="AM6" s="28">
        <f>COUNTIFS(I:I,AJ6,H:H,AM$2)</f>
        <v>0</v>
      </c>
      <c r="AN6" s="29">
        <f>COUNTIFS(I:I,AJ6,H:H,AN$2)</f>
        <v>4</v>
      </c>
      <c r="AO6" s="8">
        <f>AL6*3+AM6</f>
        <v>0</v>
      </c>
      <c r="AP6" s="10">
        <f>AL6/AK6</f>
        <v>0</v>
      </c>
      <c r="AQ6" s="22">
        <f>AO6/AK6</f>
        <v>0</v>
      </c>
      <c r="AX6" s="20" t="s">
        <v>253</v>
      </c>
      <c r="AY6" s="2">
        <f t="shared" si="7"/>
        <v>5</v>
      </c>
      <c r="AZ6" s="5">
        <f t="shared" si="8"/>
        <v>0</v>
      </c>
      <c r="BA6" s="6">
        <f t="shared" si="9"/>
        <v>2</v>
      </c>
      <c r="BB6" s="7">
        <f t="shared" si="10"/>
        <v>3</v>
      </c>
      <c r="BC6" s="8">
        <f t="shared" si="11"/>
        <v>2</v>
      </c>
      <c r="BD6" s="11">
        <f t="shared" si="12"/>
        <v>0</v>
      </c>
      <c r="BE6" s="22">
        <f t="shared" si="13"/>
        <v>0.4</v>
      </c>
    </row>
    <row r="7" spans="1:57">
      <c r="A7" s="110" t="s">
        <v>42</v>
      </c>
      <c r="B7" s="105">
        <v>45385</v>
      </c>
      <c r="C7" s="30">
        <v>5</v>
      </c>
      <c r="D7" s="30" t="s">
        <v>48</v>
      </c>
      <c r="E7" s="30" t="s">
        <v>49</v>
      </c>
      <c r="F7" s="30">
        <v>3</v>
      </c>
      <c r="G7" s="30">
        <v>2</v>
      </c>
      <c r="H7" s="40" t="s">
        <v>31</v>
      </c>
      <c r="I7" s="30" t="s">
        <v>259</v>
      </c>
      <c r="J7" s="30" t="s">
        <v>251</v>
      </c>
      <c r="K7" s="30" t="s">
        <v>260</v>
      </c>
      <c r="L7" s="53" t="s">
        <v>54</v>
      </c>
      <c r="M7" s="15" t="s">
        <v>46</v>
      </c>
      <c r="N7" s="15" t="s">
        <v>70</v>
      </c>
      <c r="O7" s="15"/>
      <c r="P7" s="54"/>
      <c r="Q7" s="171"/>
      <c r="R7" s="15" t="s">
        <v>111</v>
      </c>
      <c r="S7" s="15"/>
      <c r="T7" s="15"/>
      <c r="U7" s="56"/>
      <c r="V7" s="192"/>
      <c r="X7" s="148" t="s">
        <v>261</v>
      </c>
      <c r="Y7" s="153">
        <f t="shared" si="0"/>
        <v>2</v>
      </c>
      <c r="Z7" s="2">
        <f>COUNTIF(출전기록!B$2:L$39,'2024 토탈'!X7)</f>
        <v>1</v>
      </c>
      <c r="AA7" s="159">
        <f>COUNTIF(출전기록!M$2:Q$39,'2024 토탈'!X7)</f>
        <v>1</v>
      </c>
      <c r="AB7" s="180">
        <f t="shared" si="1"/>
        <v>0</v>
      </c>
      <c r="AC7" s="181">
        <f t="shared" si="2"/>
        <v>0</v>
      </c>
      <c r="AD7" s="182">
        <f t="shared" si="3"/>
        <v>0</v>
      </c>
      <c r="AE7" s="179">
        <f t="shared" si="4"/>
        <v>0</v>
      </c>
      <c r="AF7" s="26">
        <f t="shared" si="5"/>
        <v>0</v>
      </c>
      <c r="AG7" s="157">
        <f t="shared" si="6"/>
        <v>0</v>
      </c>
      <c r="AI7" s="4" t="s">
        <v>7</v>
      </c>
      <c r="AJ7" s="4" t="s">
        <v>11</v>
      </c>
      <c r="AK7" s="4" t="s">
        <v>30</v>
      </c>
      <c r="AL7" s="4" t="s">
        <v>31</v>
      </c>
      <c r="AM7" s="4" t="s">
        <v>32</v>
      </c>
      <c r="AN7" s="4" t="s">
        <v>33</v>
      </c>
      <c r="AO7" s="4" t="s">
        <v>34</v>
      </c>
      <c r="AP7" s="4" t="s">
        <v>35</v>
      </c>
      <c r="AQ7" s="4" t="s">
        <v>138</v>
      </c>
      <c r="AX7" s="20" t="s">
        <v>248</v>
      </c>
      <c r="AY7" s="2">
        <f t="shared" si="7"/>
        <v>4</v>
      </c>
      <c r="AZ7" s="5">
        <f t="shared" si="8"/>
        <v>2</v>
      </c>
      <c r="BA7" s="6">
        <f t="shared" si="9"/>
        <v>1</v>
      </c>
      <c r="BB7" s="7">
        <f t="shared" si="10"/>
        <v>1</v>
      </c>
      <c r="BC7" s="8">
        <f t="shared" si="11"/>
        <v>7</v>
      </c>
      <c r="BD7" s="11">
        <f t="shared" si="12"/>
        <v>0.5</v>
      </c>
      <c r="BE7" s="22">
        <f t="shared" si="13"/>
        <v>1.75</v>
      </c>
    </row>
    <row r="8" spans="1:57">
      <c r="A8" s="72" t="s">
        <v>42</v>
      </c>
      <c r="B8" s="105">
        <v>45388</v>
      </c>
      <c r="C8" s="30">
        <v>6</v>
      </c>
      <c r="D8" s="30" t="s">
        <v>77</v>
      </c>
      <c r="E8" s="30" t="s">
        <v>45</v>
      </c>
      <c r="F8" s="30">
        <v>0</v>
      </c>
      <c r="G8" s="30">
        <v>1</v>
      </c>
      <c r="H8" s="40" t="s">
        <v>33</v>
      </c>
      <c r="I8" s="30" t="s">
        <v>252</v>
      </c>
      <c r="J8" s="30" t="s">
        <v>262</v>
      </c>
      <c r="K8" s="30" t="s">
        <v>263</v>
      </c>
      <c r="L8" s="53"/>
      <c r="M8" s="15"/>
      <c r="N8" s="15"/>
      <c r="O8" s="15"/>
      <c r="P8" s="54"/>
      <c r="Q8" s="171"/>
      <c r="R8" s="15"/>
      <c r="S8" s="15"/>
      <c r="T8" s="15"/>
      <c r="U8" s="56"/>
      <c r="V8" s="192">
        <v>9293</v>
      </c>
      <c r="X8" s="148" t="s">
        <v>264</v>
      </c>
      <c r="Y8" s="153">
        <f t="shared" si="0"/>
        <v>5</v>
      </c>
      <c r="Z8" s="2">
        <f>COUNTIF(출전기록!B$2:L$39,'2024 토탈'!X8)</f>
        <v>0</v>
      </c>
      <c r="AA8" s="159">
        <f>COUNTIF(출전기록!M$2:Q$39,'2024 토탈'!X8)</f>
        <v>5</v>
      </c>
      <c r="AB8" s="180">
        <f t="shared" si="1"/>
        <v>1</v>
      </c>
      <c r="AC8" s="181">
        <f t="shared" si="2"/>
        <v>0</v>
      </c>
      <c r="AD8" s="182">
        <f t="shared" si="3"/>
        <v>1</v>
      </c>
      <c r="AE8" s="179">
        <f t="shared" si="4"/>
        <v>1</v>
      </c>
      <c r="AF8" s="26">
        <f t="shared" si="5"/>
        <v>0</v>
      </c>
      <c r="AG8" s="157">
        <f t="shared" si="6"/>
        <v>1</v>
      </c>
      <c r="AI8" s="2" t="s">
        <v>45</v>
      </c>
      <c r="AJ8" s="2" t="s">
        <v>250</v>
      </c>
      <c r="AK8" s="2">
        <f>SUM(AL8:AN8)</f>
        <v>5</v>
      </c>
      <c r="AL8" s="5">
        <f>COUNTIFS(E:E,AI8,I:I,AJ8,H:H,AL$7)</f>
        <v>2</v>
      </c>
      <c r="AM8" s="5">
        <f>COUNTIFS(E:E,AI8,I:I,AJ8,H:H,AM$7)</f>
        <v>1</v>
      </c>
      <c r="AN8" s="5">
        <f>COUNTIFS(E:E,AI8,I:I,AJ8,H:H,AN$7)</f>
        <v>2</v>
      </c>
      <c r="AO8" s="8">
        <f>AL8*3+AM8</f>
        <v>7</v>
      </c>
      <c r="AP8" s="9">
        <f>AL8/AK8</f>
        <v>0.4</v>
      </c>
      <c r="AQ8" s="22">
        <f>AO8/AK8</f>
        <v>1.4</v>
      </c>
      <c r="AX8" s="20" t="s">
        <v>262</v>
      </c>
      <c r="AY8" s="2">
        <f t="shared" si="7"/>
        <v>9</v>
      </c>
      <c r="AZ8" s="5">
        <f t="shared" si="8"/>
        <v>0</v>
      </c>
      <c r="BA8" s="6">
        <f t="shared" si="9"/>
        <v>2</v>
      </c>
      <c r="BB8" s="7">
        <f t="shared" si="10"/>
        <v>7</v>
      </c>
      <c r="BC8" s="8">
        <f t="shared" si="11"/>
        <v>2</v>
      </c>
      <c r="BD8" s="11">
        <f t="shared" si="12"/>
        <v>0</v>
      </c>
      <c r="BE8" s="22">
        <f t="shared" si="13"/>
        <v>0.22222222222222221</v>
      </c>
    </row>
    <row r="9" spans="1:57">
      <c r="A9" s="75" t="s">
        <v>42</v>
      </c>
      <c r="B9" s="105">
        <v>45396</v>
      </c>
      <c r="C9" s="30">
        <v>7</v>
      </c>
      <c r="D9" s="30" t="s">
        <v>265</v>
      </c>
      <c r="E9" s="30" t="s">
        <v>45</v>
      </c>
      <c r="F9" s="30">
        <v>1</v>
      </c>
      <c r="G9" s="30">
        <v>1</v>
      </c>
      <c r="H9" s="40" t="s">
        <v>32</v>
      </c>
      <c r="I9" s="30" t="s">
        <v>252</v>
      </c>
      <c r="J9" s="30" t="s">
        <v>253</v>
      </c>
      <c r="K9" s="30" t="s">
        <v>254</v>
      </c>
      <c r="L9" s="53" t="s">
        <v>189</v>
      </c>
      <c r="M9" s="15"/>
      <c r="N9" s="15"/>
      <c r="O9" s="15"/>
      <c r="P9" s="54"/>
      <c r="Q9" s="171"/>
      <c r="R9" s="15"/>
      <c r="S9" s="15"/>
      <c r="T9" s="15"/>
      <c r="U9" s="56"/>
      <c r="V9" s="192">
        <v>9400</v>
      </c>
      <c r="X9" s="148" t="s">
        <v>156</v>
      </c>
      <c r="Y9" s="153">
        <f t="shared" si="0"/>
        <v>4</v>
      </c>
      <c r="Z9" s="2">
        <f>COUNTIF(출전기록!B$2:L$39,'2024 토탈'!X9)</f>
        <v>3</v>
      </c>
      <c r="AA9" s="159">
        <f>COUNTIF(출전기록!M$2:Q$39,'2024 토탈'!X9)</f>
        <v>1</v>
      </c>
      <c r="AB9" s="180">
        <f t="shared" si="1"/>
        <v>0</v>
      </c>
      <c r="AC9" s="181">
        <f t="shared" si="2"/>
        <v>0</v>
      </c>
      <c r="AD9" s="182">
        <f t="shared" si="3"/>
        <v>0</v>
      </c>
      <c r="AE9" s="179">
        <f t="shared" si="4"/>
        <v>0</v>
      </c>
      <c r="AF9" s="26">
        <f t="shared" si="5"/>
        <v>0</v>
      </c>
      <c r="AG9" s="157">
        <f t="shared" si="6"/>
        <v>0</v>
      </c>
      <c r="AI9" s="2" t="s">
        <v>45</v>
      </c>
      <c r="AJ9" s="2" t="s">
        <v>252</v>
      </c>
      <c r="AK9" s="2">
        <f>SUM(AL9:AN9)</f>
        <v>6</v>
      </c>
      <c r="AL9" s="5">
        <f>COUNTIFS(E:E,AI9,I:I,AJ9,H:H,AL$7)</f>
        <v>1</v>
      </c>
      <c r="AM9" s="5">
        <f>COUNTIFS(E:E,AI9,I:I,AJ9,H:H,AM$7)</f>
        <v>2</v>
      </c>
      <c r="AN9" s="5">
        <f>COUNTIFS(E:E,AI9,I:I,AJ9,H:H,AN$7)</f>
        <v>3</v>
      </c>
      <c r="AO9" s="8">
        <f>AL9*3+AM9</f>
        <v>5</v>
      </c>
      <c r="AP9" s="9">
        <f>AL9/AK9</f>
        <v>0.16666666666666666</v>
      </c>
      <c r="AQ9" s="22">
        <f>AO9/AK9</f>
        <v>0.83333333333333337</v>
      </c>
      <c r="AX9" s="20" t="s">
        <v>266</v>
      </c>
      <c r="AY9" s="2">
        <f t="shared" si="7"/>
        <v>1</v>
      </c>
      <c r="AZ9" s="5">
        <f t="shared" si="8"/>
        <v>1</v>
      </c>
      <c r="BA9" s="6">
        <f t="shared" si="9"/>
        <v>0</v>
      </c>
      <c r="BB9" s="7">
        <f t="shared" si="10"/>
        <v>0</v>
      </c>
      <c r="BC9" s="8">
        <f t="shared" si="11"/>
        <v>3</v>
      </c>
      <c r="BD9" s="11">
        <f t="shared" si="12"/>
        <v>1</v>
      </c>
      <c r="BE9" s="22">
        <f t="shared" si="13"/>
        <v>3</v>
      </c>
    </row>
    <row r="10" spans="1:57">
      <c r="A10" s="75" t="s">
        <v>42</v>
      </c>
      <c r="B10" s="105">
        <v>45403</v>
      </c>
      <c r="C10" s="30">
        <v>8</v>
      </c>
      <c r="D10" s="30" t="s">
        <v>71</v>
      </c>
      <c r="E10" s="30" t="s">
        <v>49</v>
      </c>
      <c r="F10" s="30">
        <v>1</v>
      </c>
      <c r="G10" s="30">
        <v>4</v>
      </c>
      <c r="H10" s="40" t="s">
        <v>33</v>
      </c>
      <c r="I10" s="30" t="s">
        <v>252</v>
      </c>
      <c r="J10" s="30" t="s">
        <v>257</v>
      </c>
      <c r="K10" s="30" t="s">
        <v>263</v>
      </c>
      <c r="L10" s="53" t="s">
        <v>46</v>
      </c>
      <c r="M10" s="15"/>
      <c r="N10" s="15"/>
      <c r="O10" s="15"/>
      <c r="P10" s="54"/>
      <c r="Q10" s="171" t="s">
        <v>70</v>
      </c>
      <c r="R10" s="15"/>
      <c r="S10" s="15"/>
      <c r="T10" s="15"/>
      <c r="U10" s="56"/>
      <c r="V10" s="192"/>
      <c r="X10" s="148" t="s">
        <v>92</v>
      </c>
      <c r="Y10" s="153">
        <f t="shared" si="0"/>
        <v>6</v>
      </c>
      <c r="Z10" s="2">
        <f>COUNTIF(출전기록!B$2:L$39,'2024 토탈'!X10)</f>
        <v>3</v>
      </c>
      <c r="AA10" s="159">
        <f>COUNTIF(출전기록!M$2:Q$39,'2024 토탈'!X10)</f>
        <v>3</v>
      </c>
      <c r="AB10" s="180">
        <f t="shared" si="1"/>
        <v>0</v>
      </c>
      <c r="AC10" s="181">
        <f t="shared" si="2"/>
        <v>0</v>
      </c>
      <c r="AD10" s="182">
        <f t="shared" si="3"/>
        <v>0</v>
      </c>
      <c r="AE10" s="179">
        <f t="shared" si="4"/>
        <v>0</v>
      </c>
      <c r="AF10" s="26">
        <f t="shared" si="5"/>
        <v>0</v>
      </c>
      <c r="AG10" s="157">
        <f t="shared" si="6"/>
        <v>0</v>
      </c>
      <c r="AI10" s="2" t="s">
        <v>45</v>
      </c>
      <c r="AJ10" s="2" t="s">
        <v>256</v>
      </c>
      <c r="AK10" s="2">
        <f>SUM(AL10:AN10)</f>
        <v>3</v>
      </c>
      <c r="AL10" s="5">
        <f>COUNTIFS(E:E,AI10,I:I,AJ10,H:H,AL$7)</f>
        <v>0</v>
      </c>
      <c r="AM10" s="5">
        <f>COUNTIFS(E:E,AI10,I:I,AJ10,H:H,AM$7)</f>
        <v>2</v>
      </c>
      <c r="AN10" s="5">
        <f>COUNTIFS(E:E,AI10,I:I,AJ10,H:H,AN$7)</f>
        <v>1</v>
      </c>
      <c r="AO10" s="8">
        <f>AL10*3+AM10</f>
        <v>2</v>
      </c>
      <c r="AP10" s="9">
        <f>AL10/AK10</f>
        <v>0</v>
      </c>
      <c r="AQ10" s="22">
        <f>AO10/AK10</f>
        <v>0.66666666666666663</v>
      </c>
      <c r="AX10" s="20"/>
      <c r="AY10" s="2"/>
      <c r="AZ10" s="5"/>
      <c r="BA10" s="6"/>
      <c r="BB10" s="7"/>
      <c r="BC10" s="8"/>
      <c r="BD10" s="11"/>
      <c r="BE10" s="22"/>
    </row>
    <row r="11" spans="1:57">
      <c r="A11" s="75" t="s">
        <v>42</v>
      </c>
      <c r="B11" s="105">
        <v>45410</v>
      </c>
      <c r="C11" s="30">
        <v>9</v>
      </c>
      <c r="D11" s="30" t="s">
        <v>57</v>
      </c>
      <c r="E11" s="30" t="s">
        <v>49</v>
      </c>
      <c r="F11" s="30">
        <v>0</v>
      </c>
      <c r="G11" s="30">
        <v>0</v>
      </c>
      <c r="H11" s="40" t="s">
        <v>32</v>
      </c>
      <c r="I11" s="30" t="s">
        <v>252</v>
      </c>
      <c r="J11" s="30" t="s">
        <v>262</v>
      </c>
      <c r="K11" s="30" t="s">
        <v>263</v>
      </c>
      <c r="L11" s="53"/>
      <c r="M11" s="15"/>
      <c r="N11" s="15"/>
      <c r="O11" s="15"/>
      <c r="P11" s="54"/>
      <c r="Q11" s="171"/>
      <c r="R11" s="15"/>
      <c r="S11" s="15"/>
      <c r="T11" s="15"/>
      <c r="U11" s="56"/>
      <c r="V11" s="192"/>
      <c r="X11" s="148" t="s">
        <v>267</v>
      </c>
      <c r="Y11" s="153">
        <f t="shared" si="0"/>
        <v>2</v>
      </c>
      <c r="Z11" s="2">
        <f>COUNTIF(출전기록!B$2:L$39,'2024 토탈'!X11)</f>
        <v>2</v>
      </c>
      <c r="AA11" s="159">
        <f>COUNTIF(출전기록!M$2:Q$39,'2024 토탈'!X11)</f>
        <v>0</v>
      </c>
      <c r="AB11" s="180">
        <f t="shared" si="1"/>
        <v>0</v>
      </c>
      <c r="AC11" s="181">
        <f t="shared" si="2"/>
        <v>0</v>
      </c>
      <c r="AD11" s="182">
        <f t="shared" si="3"/>
        <v>0</v>
      </c>
      <c r="AE11" s="179">
        <f t="shared" si="4"/>
        <v>0</v>
      </c>
      <c r="AF11" s="26">
        <f t="shared" si="5"/>
        <v>0</v>
      </c>
      <c r="AG11" s="157">
        <f t="shared" si="6"/>
        <v>0</v>
      </c>
      <c r="AI11" s="2" t="s">
        <v>45</v>
      </c>
      <c r="AJ11" s="2" t="s">
        <v>258</v>
      </c>
      <c r="AK11" s="2">
        <f>SUM(AL11:AN11)</f>
        <v>4</v>
      </c>
      <c r="AL11" s="5">
        <f>COUNTIFS(E:E,AI11,I:I,AJ11,H:H,AL$7)</f>
        <v>0</v>
      </c>
      <c r="AM11" s="5">
        <f>COUNTIFS(E:E,AI11,I:I,AJ11,H:H,AM$7)</f>
        <v>0</v>
      </c>
      <c r="AN11" s="5">
        <f>COUNTIFS(E:E,AI11,I:I,AJ11,H:H,AN$7)</f>
        <v>4</v>
      </c>
      <c r="AO11" s="8">
        <f>AL11*3+AM11</f>
        <v>0</v>
      </c>
      <c r="AP11" s="9">
        <f>AL11/AK11</f>
        <v>0</v>
      </c>
      <c r="AQ11" s="22">
        <f>AO11/AK11</f>
        <v>0</v>
      </c>
      <c r="AX11" s="20"/>
      <c r="AY11" s="2"/>
      <c r="AZ11" s="5"/>
      <c r="BA11" s="6"/>
      <c r="BB11" s="7"/>
      <c r="BC11" s="8"/>
      <c r="BD11" s="11"/>
      <c r="BE11" s="22"/>
    </row>
    <row r="12" spans="1:57">
      <c r="A12" s="110" t="s">
        <v>42</v>
      </c>
      <c r="B12" s="105">
        <v>45413</v>
      </c>
      <c r="C12" s="30">
        <v>10</v>
      </c>
      <c r="D12" s="30" t="s">
        <v>67</v>
      </c>
      <c r="E12" s="30" t="s">
        <v>45</v>
      </c>
      <c r="F12" s="30">
        <v>3</v>
      </c>
      <c r="G12" s="30">
        <v>0</v>
      </c>
      <c r="H12" s="40" t="s">
        <v>31</v>
      </c>
      <c r="I12" s="30" t="s">
        <v>247</v>
      </c>
      <c r="J12" s="30" t="s">
        <v>255</v>
      </c>
      <c r="K12" s="30" t="s">
        <v>249</v>
      </c>
      <c r="L12" s="53" t="s">
        <v>177</v>
      </c>
      <c r="M12" s="15" t="s">
        <v>170</v>
      </c>
      <c r="N12" s="15" t="s">
        <v>46</v>
      </c>
      <c r="O12" s="15"/>
      <c r="P12" s="54"/>
      <c r="Q12" s="171" t="s">
        <v>268</v>
      </c>
      <c r="R12" s="15" t="s">
        <v>70</v>
      </c>
      <c r="S12" s="15" t="s">
        <v>70</v>
      </c>
      <c r="T12" s="15"/>
      <c r="U12" s="56"/>
      <c r="V12" s="192">
        <v>10094</v>
      </c>
      <c r="X12" s="148" t="s">
        <v>182</v>
      </c>
      <c r="Y12" s="153">
        <f t="shared" si="0"/>
        <v>2</v>
      </c>
      <c r="Z12" s="2">
        <f>COUNTIF(출전기록!B$2:L$39,'2024 토탈'!X12)</f>
        <v>0</v>
      </c>
      <c r="AA12" s="159">
        <f>COUNTIF(출전기록!M$2:Q$39,'2024 토탈'!X12)</f>
        <v>2</v>
      </c>
      <c r="AB12" s="180">
        <f t="shared" si="1"/>
        <v>0</v>
      </c>
      <c r="AC12" s="181">
        <f t="shared" si="2"/>
        <v>0</v>
      </c>
      <c r="AD12" s="182">
        <f t="shared" si="3"/>
        <v>0</v>
      </c>
      <c r="AE12" s="179">
        <f t="shared" si="4"/>
        <v>0</v>
      </c>
      <c r="AF12" s="26">
        <f t="shared" si="5"/>
        <v>0</v>
      </c>
      <c r="AG12" s="157">
        <f t="shared" si="6"/>
        <v>0</v>
      </c>
      <c r="AI12" s="4" t="s">
        <v>7</v>
      </c>
      <c r="AJ12" s="4" t="s">
        <v>11</v>
      </c>
      <c r="AK12" s="4" t="s">
        <v>30</v>
      </c>
      <c r="AL12" s="4" t="s">
        <v>31</v>
      </c>
      <c r="AM12" s="4" t="s">
        <v>32</v>
      </c>
      <c r="AN12" s="4" t="s">
        <v>33</v>
      </c>
      <c r="AO12" s="4" t="s">
        <v>34</v>
      </c>
      <c r="AP12" s="4" t="s">
        <v>35</v>
      </c>
      <c r="AQ12" s="4" t="s">
        <v>138</v>
      </c>
      <c r="AX12" s="4" t="s">
        <v>13</v>
      </c>
      <c r="AY12" s="4" t="s">
        <v>30</v>
      </c>
      <c r="AZ12" s="4" t="s">
        <v>31</v>
      </c>
      <c r="BA12" s="4" t="s">
        <v>32</v>
      </c>
      <c r="BB12" s="4" t="s">
        <v>33</v>
      </c>
      <c r="BC12" s="4" t="s">
        <v>34</v>
      </c>
      <c r="BD12" s="4" t="s">
        <v>35</v>
      </c>
      <c r="BE12" s="4" t="s">
        <v>138</v>
      </c>
    </row>
    <row r="13" spans="1:57">
      <c r="A13" s="75" t="s">
        <v>42</v>
      </c>
      <c r="B13" s="105">
        <v>45417</v>
      </c>
      <c r="C13" s="30">
        <v>11</v>
      </c>
      <c r="D13" s="30" t="s">
        <v>72</v>
      </c>
      <c r="E13" s="30" t="s">
        <v>49</v>
      </c>
      <c r="F13" s="30">
        <v>2</v>
      </c>
      <c r="G13" s="30">
        <v>2</v>
      </c>
      <c r="H13" s="40" t="s">
        <v>32</v>
      </c>
      <c r="I13" s="30" t="s">
        <v>247</v>
      </c>
      <c r="J13" s="30" t="s">
        <v>255</v>
      </c>
      <c r="K13" s="30" t="s">
        <v>249</v>
      </c>
      <c r="L13" s="53" t="s">
        <v>46</v>
      </c>
      <c r="M13" s="15" t="s">
        <v>70</v>
      </c>
      <c r="N13" s="15"/>
      <c r="O13" s="15"/>
      <c r="P13" s="54"/>
      <c r="Q13" s="171"/>
      <c r="R13" s="15" t="s">
        <v>97</v>
      </c>
      <c r="S13" s="15"/>
      <c r="T13" s="15"/>
      <c r="U13" s="56"/>
      <c r="V13" s="192"/>
      <c r="X13" s="148" t="s">
        <v>269</v>
      </c>
      <c r="Y13" s="153">
        <f t="shared" si="0"/>
        <v>0</v>
      </c>
      <c r="Z13" s="2">
        <f>COUNTIF(출전기록!B$2:L$39,'2024 토탈'!X13)</f>
        <v>0</v>
      </c>
      <c r="AA13" s="159">
        <f>COUNTIF(출전기록!M$2:Q$39,'2024 토탈'!X13)</f>
        <v>0</v>
      </c>
      <c r="AB13" s="180">
        <f t="shared" si="1"/>
        <v>0</v>
      </c>
      <c r="AC13" s="181">
        <f t="shared" si="2"/>
        <v>0</v>
      </c>
      <c r="AD13" s="182">
        <f t="shared" si="3"/>
        <v>0</v>
      </c>
      <c r="AE13" s="179">
        <f t="shared" si="4"/>
        <v>0</v>
      </c>
      <c r="AF13" s="26">
        <f t="shared" si="5"/>
        <v>0</v>
      </c>
      <c r="AG13" s="157">
        <f t="shared" si="6"/>
        <v>0</v>
      </c>
      <c r="AI13" s="2" t="s">
        <v>49</v>
      </c>
      <c r="AJ13" s="2" t="s">
        <v>250</v>
      </c>
      <c r="AK13" s="2">
        <f>SUM(AL13:AN13)</f>
        <v>5</v>
      </c>
      <c r="AL13" s="5">
        <f>COUNTIFS(E:E,AI13,I:I,AJ13,H:H,AL$12)</f>
        <v>1</v>
      </c>
      <c r="AM13" s="5">
        <f>COUNTIFS(E:E,AI13,I:I,AJ13,H:H,AM$12)</f>
        <v>4</v>
      </c>
      <c r="AN13" s="5">
        <f>COUNTIFS(E:E,AI13,I:I,AJ13,H:H,AN$12)</f>
        <v>0</v>
      </c>
      <c r="AO13" s="8">
        <f>AL13*3+AM13</f>
        <v>7</v>
      </c>
      <c r="AP13" s="9">
        <f>AL13/AK13</f>
        <v>0.2</v>
      </c>
      <c r="AQ13" s="22">
        <f>AO13/AK13</f>
        <v>1.4</v>
      </c>
      <c r="AX13" s="2" t="s">
        <v>260</v>
      </c>
      <c r="AY13" s="2">
        <f t="shared" ref="AY13:AY18" si="14">SUM(AZ13:BB13)</f>
        <v>4</v>
      </c>
      <c r="AZ13" s="5">
        <f>COUNTIFS(K:K,AX13,H:H,AZ$12)</f>
        <v>2</v>
      </c>
      <c r="BA13" s="6">
        <f>COUNTIFS(K:K,AX13,H:H,BA$12)</f>
        <v>2</v>
      </c>
      <c r="BB13" s="7">
        <f>COUNTIFS(K:K,AX13,H:H,BB$12)</f>
        <v>0</v>
      </c>
      <c r="BC13" s="8">
        <f t="shared" ref="BC13:BC18" si="15">AZ13*3+BA13</f>
        <v>8</v>
      </c>
      <c r="BD13" s="11">
        <f t="shared" ref="BD13:BD18" si="16">AZ13/AY13</f>
        <v>0.5</v>
      </c>
      <c r="BE13" s="22">
        <f t="shared" ref="BE13:BE18" si="17">BC13/AY13</f>
        <v>2</v>
      </c>
    </row>
    <row r="14" spans="1:57">
      <c r="A14" s="72" t="s">
        <v>42</v>
      </c>
      <c r="B14" s="106">
        <v>45423</v>
      </c>
      <c r="C14" s="235">
        <v>12</v>
      </c>
      <c r="D14" s="73" t="s">
        <v>44</v>
      </c>
      <c r="E14" s="24" t="s">
        <v>45</v>
      </c>
      <c r="F14" s="24">
        <v>1</v>
      </c>
      <c r="G14" s="24">
        <v>2</v>
      </c>
      <c r="H14" s="41" t="s">
        <v>33</v>
      </c>
      <c r="I14" s="24" t="s">
        <v>252</v>
      </c>
      <c r="J14" s="24" t="s">
        <v>257</v>
      </c>
      <c r="K14" s="24" t="s">
        <v>270</v>
      </c>
      <c r="L14" s="57" t="s">
        <v>46</v>
      </c>
      <c r="M14" s="58"/>
      <c r="N14" s="58"/>
      <c r="O14" s="58"/>
      <c r="P14" s="59"/>
      <c r="Q14" s="143" t="s">
        <v>268</v>
      </c>
      <c r="R14" s="58"/>
      <c r="S14" s="58"/>
      <c r="T14" s="58"/>
      <c r="U14" s="61"/>
      <c r="V14" s="193">
        <v>14435</v>
      </c>
      <c r="X14" s="207" t="s">
        <v>271</v>
      </c>
      <c r="Y14" s="208">
        <f t="shared" si="0"/>
        <v>10</v>
      </c>
      <c r="Z14" s="209">
        <f>COUNTIF(출전기록!B$2:L$39,'2024 토탈'!X14)</f>
        <v>4</v>
      </c>
      <c r="AA14" s="210">
        <f>COUNTIF(출전기록!M$2:Q$39,'2024 토탈'!X14)</f>
        <v>6</v>
      </c>
      <c r="AB14" s="208">
        <f t="shared" si="1"/>
        <v>0</v>
      </c>
      <c r="AC14" s="211">
        <f t="shared" si="2"/>
        <v>0</v>
      </c>
      <c r="AD14" s="212">
        <f t="shared" si="3"/>
        <v>0</v>
      </c>
      <c r="AE14" s="208">
        <f t="shared" si="4"/>
        <v>1</v>
      </c>
      <c r="AF14" s="211">
        <f t="shared" si="5"/>
        <v>0</v>
      </c>
      <c r="AG14" s="212">
        <f t="shared" si="6"/>
        <v>1</v>
      </c>
      <c r="AI14" s="2" t="s">
        <v>49</v>
      </c>
      <c r="AJ14" s="2" t="s">
        <v>252</v>
      </c>
      <c r="AK14" s="2">
        <f>SUM(AL14:AN14)</f>
        <v>11</v>
      </c>
      <c r="AL14" s="5">
        <f>COUNTIFS(E:E,AI14,I:I,AJ14,H:H,AL$12)</f>
        <v>3</v>
      </c>
      <c r="AM14" s="5">
        <f>COUNTIFS(E:E,AI14,I:I,AJ14,H:H,AM$12)</f>
        <v>3</v>
      </c>
      <c r="AN14" s="5">
        <f>COUNTIFS(E:E,AI14,I:I,AJ14,H:H,AN$12)</f>
        <v>5</v>
      </c>
      <c r="AO14" s="8">
        <f>AL14*3+AM14</f>
        <v>12</v>
      </c>
      <c r="AP14" s="9">
        <f>AL14/AK14</f>
        <v>0.27272727272727271</v>
      </c>
      <c r="AQ14" s="22">
        <f>AO14/AK14</f>
        <v>1.0909090909090908</v>
      </c>
      <c r="AX14" s="2" t="s">
        <v>263</v>
      </c>
      <c r="AY14" s="2">
        <f t="shared" si="14"/>
        <v>12</v>
      </c>
      <c r="AZ14" s="5">
        <f>COUNTIFS(K:K,AX14,H:H,AZ$12)</f>
        <v>1</v>
      </c>
      <c r="BA14" s="6">
        <f>COUNTIFS(K:K,AX14,H:H,BA$12)</f>
        <v>2</v>
      </c>
      <c r="BB14" s="7">
        <f>COUNTIFS(K:K,AX14,H:H,BB$12)</f>
        <v>9</v>
      </c>
      <c r="BC14" s="8">
        <f t="shared" si="15"/>
        <v>5</v>
      </c>
      <c r="BD14" s="11">
        <f t="shared" si="16"/>
        <v>8.3333333333333329E-2</v>
      </c>
      <c r="BE14" s="22">
        <f t="shared" si="17"/>
        <v>0.41666666666666669</v>
      </c>
    </row>
    <row r="15" spans="1:57">
      <c r="A15" s="72" t="s">
        <v>42</v>
      </c>
      <c r="B15" s="106">
        <v>45430</v>
      </c>
      <c r="C15" s="24">
        <v>13</v>
      </c>
      <c r="D15" s="24" t="s">
        <v>61</v>
      </c>
      <c r="E15" s="24" t="s">
        <v>49</v>
      </c>
      <c r="F15" s="24">
        <v>1</v>
      </c>
      <c r="G15" s="24">
        <v>0</v>
      </c>
      <c r="H15" s="41" t="s">
        <v>31</v>
      </c>
      <c r="I15" s="24" t="s">
        <v>252</v>
      </c>
      <c r="J15" s="24" t="s">
        <v>257</v>
      </c>
      <c r="K15" s="24" t="s">
        <v>254</v>
      </c>
      <c r="L15" s="57" t="s">
        <v>93</v>
      </c>
      <c r="M15" s="58"/>
      <c r="N15" s="58"/>
      <c r="O15" s="58"/>
      <c r="P15" s="59"/>
      <c r="Q15" s="143" t="s">
        <v>268</v>
      </c>
      <c r="R15" s="58"/>
      <c r="S15" s="58"/>
      <c r="T15" s="58"/>
      <c r="U15" s="61"/>
      <c r="V15" s="194"/>
      <c r="X15" s="149" t="s">
        <v>272</v>
      </c>
      <c r="Y15" s="153">
        <f t="shared" si="0"/>
        <v>27</v>
      </c>
      <c r="Z15" s="2">
        <f>COUNTIF(출전기록!B$2:L$39,'2024 토탈'!X15)</f>
        <v>15</v>
      </c>
      <c r="AA15" s="159">
        <f>COUNTIF(출전기록!M$2:Q$39,'2024 토탈'!X15)</f>
        <v>12</v>
      </c>
      <c r="AB15" s="180">
        <f t="shared" si="1"/>
        <v>1</v>
      </c>
      <c r="AC15" s="181">
        <f t="shared" si="2"/>
        <v>0</v>
      </c>
      <c r="AD15" s="182">
        <f t="shared" si="3"/>
        <v>1</v>
      </c>
      <c r="AE15" s="179">
        <f t="shared" si="4"/>
        <v>1</v>
      </c>
      <c r="AF15" s="26">
        <f t="shared" si="5"/>
        <v>0</v>
      </c>
      <c r="AG15" s="157">
        <f t="shared" si="6"/>
        <v>1</v>
      </c>
      <c r="AI15" s="2" t="s">
        <v>49</v>
      </c>
      <c r="AJ15" s="2" t="s">
        <v>256</v>
      </c>
      <c r="AK15" s="2">
        <f>SUM(AL15:AN15)</f>
        <v>1</v>
      </c>
      <c r="AL15" s="5">
        <f>COUNTIFS(E:E,AI15,I:I,AJ15,H:H,AL$12)</f>
        <v>1</v>
      </c>
      <c r="AM15" s="5">
        <f>COUNTIFS(E:E,AI15,I:I,AJ15,H:H,AM$12)</f>
        <v>0</v>
      </c>
      <c r="AN15" s="5">
        <f>COUNTIFS(E:E,AI15,I:I,AJ15,H:H,AN$12)</f>
        <v>0</v>
      </c>
      <c r="AO15" s="8">
        <f>AL15*3+AM15</f>
        <v>3</v>
      </c>
      <c r="AP15" s="9">
        <f>AL15/AK15</f>
        <v>1</v>
      </c>
      <c r="AQ15" s="22">
        <f>AO15/AK15</f>
        <v>3</v>
      </c>
      <c r="AX15" s="2" t="s">
        <v>270</v>
      </c>
      <c r="AY15" s="2">
        <f t="shared" si="14"/>
        <v>2</v>
      </c>
      <c r="AZ15" s="5">
        <f>COUNTIFS(K:K,AX15,H:H,AZ12)</f>
        <v>0</v>
      </c>
      <c r="BA15" s="6">
        <f>COUNTIFS(K:K,AX15,H:H,BA12)</f>
        <v>1</v>
      </c>
      <c r="BB15" s="7">
        <f>COUNTIFS(K:K,AX15,H:H,BB12)</f>
        <v>1</v>
      </c>
      <c r="BC15" s="8">
        <f t="shared" si="15"/>
        <v>1</v>
      </c>
      <c r="BD15" s="11">
        <f t="shared" si="16"/>
        <v>0</v>
      </c>
      <c r="BE15" s="22">
        <f t="shared" si="17"/>
        <v>0.5</v>
      </c>
    </row>
    <row r="16" spans="1:57">
      <c r="A16" s="72" t="s">
        <v>42</v>
      </c>
      <c r="B16" s="106">
        <v>45437</v>
      </c>
      <c r="C16" s="24">
        <v>14</v>
      </c>
      <c r="D16" s="24" t="s">
        <v>48</v>
      </c>
      <c r="E16" s="24" t="s">
        <v>45</v>
      </c>
      <c r="F16" s="24">
        <v>1</v>
      </c>
      <c r="G16" s="24">
        <v>1</v>
      </c>
      <c r="H16" s="41" t="s">
        <v>32</v>
      </c>
      <c r="I16" s="24" t="s">
        <v>259</v>
      </c>
      <c r="J16" s="24" t="s">
        <v>251</v>
      </c>
      <c r="K16" s="24" t="s">
        <v>260</v>
      </c>
      <c r="L16" s="57" t="s">
        <v>46</v>
      </c>
      <c r="M16" s="58"/>
      <c r="N16" s="58"/>
      <c r="O16" s="58"/>
      <c r="P16" s="59"/>
      <c r="Q16" s="143"/>
      <c r="R16" s="58"/>
      <c r="S16" s="58"/>
      <c r="T16" s="58"/>
      <c r="U16" s="61"/>
      <c r="V16" s="193">
        <v>9107</v>
      </c>
      <c r="X16" s="149" t="s">
        <v>73</v>
      </c>
      <c r="Y16" s="153">
        <f t="shared" si="0"/>
        <v>24</v>
      </c>
      <c r="Z16" s="2">
        <f>COUNTIF(출전기록!B$2:L$39,'2024 토탈'!X16)</f>
        <v>22</v>
      </c>
      <c r="AA16" s="159">
        <f>COUNTIF(출전기록!M$2:Q$39,'2024 토탈'!X16)</f>
        <v>2</v>
      </c>
      <c r="AB16" s="180">
        <f t="shared" si="1"/>
        <v>0</v>
      </c>
      <c r="AC16" s="181">
        <f t="shared" si="2"/>
        <v>1</v>
      </c>
      <c r="AD16" s="182">
        <f t="shared" si="3"/>
        <v>1</v>
      </c>
      <c r="AE16" s="179">
        <f t="shared" si="4"/>
        <v>0</v>
      </c>
      <c r="AF16" s="26">
        <f t="shared" si="5"/>
        <v>1</v>
      </c>
      <c r="AG16" s="157">
        <f t="shared" si="6"/>
        <v>1</v>
      </c>
      <c r="AI16" s="2" t="s">
        <v>49</v>
      </c>
      <c r="AJ16" s="2" t="s">
        <v>258</v>
      </c>
      <c r="AK16" s="2">
        <f>SUM(AL16:AN16)</f>
        <v>0</v>
      </c>
      <c r="AL16" s="5">
        <f>COUNTIFS(E:E,AI16,I:I,AJ16,H:H,AL$12)</f>
        <v>0</v>
      </c>
      <c r="AM16" s="5">
        <f>COUNTIFS(E:E,AI16,I:I,AJ16,H:H,AM$12)</f>
        <v>0</v>
      </c>
      <c r="AN16" s="5">
        <f>COUNTIFS(E:E,AI16,I:I,AJ16,H:H,AN$12)</f>
        <v>0</v>
      </c>
      <c r="AO16" s="8">
        <f>AL16*3+AM16</f>
        <v>0</v>
      </c>
      <c r="AP16" s="9" t="e">
        <f>AL16/AK16</f>
        <v>#DIV/0!</v>
      </c>
      <c r="AQ16" s="22" t="e">
        <f>AO16/AK16</f>
        <v>#DIV/0!</v>
      </c>
      <c r="AX16" s="2" t="s">
        <v>254</v>
      </c>
      <c r="AY16" s="2">
        <f t="shared" si="14"/>
        <v>7</v>
      </c>
      <c r="AZ16" s="5">
        <f>COUNTIFS(K:K,AX16,H:H,AZ12)</f>
        <v>2</v>
      </c>
      <c r="BA16" s="6">
        <f>COUNTIFS(K:K,AX16,H:H,BA12)</f>
        <v>2</v>
      </c>
      <c r="BB16" s="7">
        <f>COUNTIFS(K:K,AX16,H:H,BB12)</f>
        <v>3</v>
      </c>
      <c r="BC16" s="8">
        <f t="shared" si="15"/>
        <v>8</v>
      </c>
      <c r="BD16" s="11">
        <f t="shared" si="16"/>
        <v>0.2857142857142857</v>
      </c>
      <c r="BE16" s="22">
        <f t="shared" si="17"/>
        <v>1.1428571428571428</v>
      </c>
    </row>
    <row r="17" spans="1:57">
      <c r="A17" s="110" t="s">
        <v>42</v>
      </c>
      <c r="B17" s="106">
        <v>45441</v>
      </c>
      <c r="C17" s="24">
        <v>15</v>
      </c>
      <c r="D17" s="24" t="s">
        <v>55</v>
      </c>
      <c r="E17" s="24" t="s">
        <v>45</v>
      </c>
      <c r="F17" s="24">
        <v>1</v>
      </c>
      <c r="G17" s="24">
        <v>1</v>
      </c>
      <c r="H17" s="41" t="s">
        <v>32</v>
      </c>
      <c r="I17" s="24" t="s">
        <v>247</v>
      </c>
      <c r="J17" s="24" t="s">
        <v>255</v>
      </c>
      <c r="K17" s="24" t="s">
        <v>249</v>
      </c>
      <c r="L17" s="57" t="s">
        <v>272</v>
      </c>
      <c r="M17" s="58"/>
      <c r="N17" s="58"/>
      <c r="O17" s="58"/>
      <c r="P17" s="59"/>
      <c r="Q17" s="143"/>
      <c r="R17" s="58"/>
      <c r="S17" s="58"/>
      <c r="T17" s="58"/>
      <c r="U17" s="61"/>
      <c r="V17" s="193">
        <v>8413</v>
      </c>
      <c r="X17" s="149" t="s">
        <v>93</v>
      </c>
      <c r="Y17" s="153">
        <f t="shared" si="0"/>
        <v>20</v>
      </c>
      <c r="Z17" s="2">
        <f>COUNTIF(출전기록!B$2:L$39,'2024 토탈'!X17)</f>
        <v>11</v>
      </c>
      <c r="AA17" s="159">
        <f>COUNTIF(출전기록!M$2:Q$39,'2024 토탈'!X17)</f>
        <v>9</v>
      </c>
      <c r="AB17" s="180">
        <f t="shared" si="1"/>
        <v>1</v>
      </c>
      <c r="AC17" s="181">
        <f t="shared" si="2"/>
        <v>1</v>
      </c>
      <c r="AD17" s="182">
        <f t="shared" si="3"/>
        <v>2</v>
      </c>
      <c r="AE17" s="179">
        <f t="shared" si="4"/>
        <v>1</v>
      </c>
      <c r="AF17" s="26">
        <f t="shared" si="5"/>
        <v>1</v>
      </c>
      <c r="AG17" s="157">
        <f t="shared" si="6"/>
        <v>2</v>
      </c>
      <c r="AX17" s="20" t="s">
        <v>249</v>
      </c>
      <c r="AY17" s="20">
        <f t="shared" si="14"/>
        <v>10</v>
      </c>
      <c r="AZ17" s="5">
        <f>COUNTIFS(K:K,AX17,H:H,$AZ$12)</f>
        <v>3</v>
      </c>
      <c r="BA17" s="6">
        <f>COUNTIFS(K:K,AX17,H:H,$BA$12)</f>
        <v>5</v>
      </c>
      <c r="BB17" s="7">
        <f>COUNTIFS(K:K,AX17,H:H,BB$12)</f>
        <v>2</v>
      </c>
      <c r="BC17" s="26">
        <f t="shared" si="15"/>
        <v>14</v>
      </c>
      <c r="BD17" s="11">
        <f t="shared" si="16"/>
        <v>0.3</v>
      </c>
      <c r="BE17" s="25">
        <f t="shared" si="17"/>
        <v>1.4</v>
      </c>
    </row>
    <row r="18" spans="1:57">
      <c r="A18" s="72" t="s">
        <v>42</v>
      </c>
      <c r="B18" s="106">
        <v>45444</v>
      </c>
      <c r="C18" s="235">
        <v>16</v>
      </c>
      <c r="D18" s="73" t="s">
        <v>246</v>
      </c>
      <c r="E18" s="24" t="s">
        <v>49</v>
      </c>
      <c r="F18" s="24">
        <v>1</v>
      </c>
      <c r="G18" s="24">
        <v>3</v>
      </c>
      <c r="H18" s="41" t="s">
        <v>33</v>
      </c>
      <c r="I18" s="24" t="s">
        <v>252</v>
      </c>
      <c r="J18" s="24" t="s">
        <v>262</v>
      </c>
      <c r="K18" s="24" t="s">
        <v>263</v>
      </c>
      <c r="L18" s="57" t="s">
        <v>46</v>
      </c>
      <c r="M18" s="58"/>
      <c r="N18" s="58"/>
      <c r="O18" s="58"/>
      <c r="P18" s="59"/>
      <c r="Q18" s="143"/>
      <c r="R18" s="58"/>
      <c r="S18" s="58"/>
      <c r="T18" s="58"/>
      <c r="U18" s="61"/>
      <c r="V18" s="193"/>
      <c r="X18" s="149" t="s">
        <v>170</v>
      </c>
      <c r="Y18" s="153">
        <f t="shared" si="0"/>
        <v>25</v>
      </c>
      <c r="Z18" s="2">
        <f>COUNTIF(출전기록!B$2:L$39,'2024 토탈'!X18)</f>
        <v>19</v>
      </c>
      <c r="AA18" s="159">
        <f>COUNTIF(출전기록!M$2:Q$39,'2024 토탈'!X18)</f>
        <v>6</v>
      </c>
      <c r="AB18" s="180">
        <f t="shared" si="1"/>
        <v>3</v>
      </c>
      <c r="AC18" s="181">
        <f t="shared" si="2"/>
        <v>0</v>
      </c>
      <c r="AD18" s="182">
        <f t="shared" si="3"/>
        <v>3</v>
      </c>
      <c r="AE18" s="179">
        <f t="shared" si="4"/>
        <v>3</v>
      </c>
      <c r="AF18" s="26">
        <f t="shared" si="5"/>
        <v>0</v>
      </c>
      <c r="AG18" s="157">
        <f t="shared" si="6"/>
        <v>3</v>
      </c>
      <c r="AX18" s="20" t="s">
        <v>273</v>
      </c>
      <c r="AY18" s="20">
        <f t="shared" si="14"/>
        <v>1</v>
      </c>
      <c r="AZ18" s="5">
        <f>COUNTIFS(K:K,AX18,H:H,$AZ$12)</f>
        <v>0</v>
      </c>
      <c r="BA18" s="6">
        <f>COUNTIFS(K:K,AX18,H:H,$BA$12)</f>
        <v>0</v>
      </c>
      <c r="BB18" s="7">
        <f>COUNTIFS(K:K,AX18,H:H,BB$12)</f>
        <v>1</v>
      </c>
      <c r="BC18" s="26">
        <f t="shared" si="15"/>
        <v>0</v>
      </c>
      <c r="BD18" s="11">
        <f t="shared" si="16"/>
        <v>0</v>
      </c>
      <c r="BE18" s="25">
        <f t="shared" si="17"/>
        <v>0</v>
      </c>
    </row>
    <row r="19" spans="1:57">
      <c r="A19" s="75" t="s">
        <v>42</v>
      </c>
      <c r="B19" s="106">
        <v>45459</v>
      </c>
      <c r="C19" s="24">
        <v>17</v>
      </c>
      <c r="D19" s="24" t="s">
        <v>67</v>
      </c>
      <c r="E19" s="24" t="s">
        <v>49</v>
      </c>
      <c r="F19" s="24">
        <v>2</v>
      </c>
      <c r="G19" s="24">
        <v>2</v>
      </c>
      <c r="H19" s="41" t="s">
        <v>32</v>
      </c>
      <c r="I19" s="24" t="s">
        <v>247</v>
      </c>
      <c r="J19" s="24" t="s">
        <v>248</v>
      </c>
      <c r="K19" s="24" t="s">
        <v>249</v>
      </c>
      <c r="L19" s="57" t="s">
        <v>170</v>
      </c>
      <c r="M19" s="58" t="s">
        <v>87</v>
      </c>
      <c r="N19" s="58"/>
      <c r="O19" s="58"/>
      <c r="P19" s="59"/>
      <c r="Q19" s="143" t="s">
        <v>46</v>
      </c>
      <c r="R19" s="58" t="s">
        <v>171</v>
      </c>
      <c r="S19" s="58"/>
      <c r="T19" s="58"/>
      <c r="U19" s="61"/>
      <c r="V19" s="193"/>
      <c r="X19" s="149" t="s">
        <v>171</v>
      </c>
      <c r="Y19" s="153">
        <f t="shared" si="0"/>
        <v>18</v>
      </c>
      <c r="Z19" s="2">
        <f>COUNTIF(출전기록!B$2:L$39,'2024 토탈'!X19)</f>
        <v>14</v>
      </c>
      <c r="AA19" s="159">
        <f>COUNTIF(출전기록!M$2:Q$39,'2024 토탈'!X19)</f>
        <v>4</v>
      </c>
      <c r="AB19" s="180">
        <f t="shared" si="1"/>
        <v>0</v>
      </c>
      <c r="AC19" s="181">
        <f t="shared" si="2"/>
        <v>3</v>
      </c>
      <c r="AD19" s="182">
        <f t="shared" si="3"/>
        <v>3</v>
      </c>
      <c r="AE19" s="179">
        <f t="shared" si="4"/>
        <v>0</v>
      </c>
      <c r="AF19" s="26">
        <f t="shared" si="5"/>
        <v>3</v>
      </c>
      <c r="AG19" s="157">
        <f t="shared" si="6"/>
        <v>3</v>
      </c>
      <c r="AJ19" s="4" t="s">
        <v>7</v>
      </c>
      <c r="AK19" s="4" t="s">
        <v>30</v>
      </c>
      <c r="AL19" s="4" t="s">
        <v>31</v>
      </c>
      <c r="AM19" s="4" t="s">
        <v>32</v>
      </c>
      <c r="AN19" s="4" t="s">
        <v>33</v>
      </c>
      <c r="AO19" s="4" t="s">
        <v>34</v>
      </c>
      <c r="AP19" s="4" t="s">
        <v>35</v>
      </c>
      <c r="AQ19" s="4" t="s">
        <v>8</v>
      </c>
      <c r="AR19" s="4" t="s">
        <v>9</v>
      </c>
      <c r="AS19" s="4" t="s">
        <v>36</v>
      </c>
      <c r="AT19" s="4" t="s">
        <v>37</v>
      </c>
      <c r="AU19" s="4" t="s">
        <v>38</v>
      </c>
      <c r="AV19" s="4" t="s">
        <v>39</v>
      </c>
      <c r="AX19" s="20"/>
      <c r="AY19" s="20"/>
      <c r="AZ19" s="5"/>
      <c r="BA19" s="6"/>
      <c r="BB19" s="7"/>
      <c r="BC19" s="26"/>
      <c r="BD19" s="11"/>
      <c r="BE19" s="25"/>
    </row>
    <row r="20" spans="1:57">
      <c r="A20" s="75" t="s">
        <v>42</v>
      </c>
      <c r="B20" s="106">
        <v>45466</v>
      </c>
      <c r="C20" s="24">
        <v>18</v>
      </c>
      <c r="D20" s="24" t="s">
        <v>57</v>
      </c>
      <c r="E20" s="24" t="s">
        <v>45</v>
      </c>
      <c r="F20" s="24">
        <v>1</v>
      </c>
      <c r="G20" s="24">
        <v>3</v>
      </c>
      <c r="H20" s="41" t="s">
        <v>33</v>
      </c>
      <c r="I20" s="24" t="s">
        <v>247</v>
      </c>
      <c r="J20" s="24" t="s">
        <v>255</v>
      </c>
      <c r="K20" s="24" t="s">
        <v>249</v>
      </c>
      <c r="L20" s="57" t="s">
        <v>143</v>
      </c>
      <c r="M20" s="58"/>
      <c r="N20" s="58"/>
      <c r="O20" s="58"/>
      <c r="P20" s="59"/>
      <c r="Q20" s="143"/>
      <c r="R20" s="58"/>
      <c r="S20" s="58"/>
      <c r="T20" s="58"/>
      <c r="U20" s="61"/>
      <c r="V20" s="193">
        <v>8198</v>
      </c>
      <c r="X20" s="149" t="s">
        <v>172</v>
      </c>
      <c r="Y20" s="153">
        <f t="shared" si="0"/>
        <v>1</v>
      </c>
      <c r="Z20" s="2">
        <f>COUNTIF(출전기록!B$2:L$39,'2024 토탈'!X20)</f>
        <v>1</v>
      </c>
      <c r="AA20" s="159">
        <f>COUNTIF(출전기록!M$2:Q$39,'2024 토탈'!X20)</f>
        <v>0</v>
      </c>
      <c r="AB20" s="180">
        <f t="shared" si="1"/>
        <v>0</v>
      </c>
      <c r="AC20" s="181">
        <f t="shared" si="2"/>
        <v>0</v>
      </c>
      <c r="AD20" s="182">
        <f t="shared" si="3"/>
        <v>0</v>
      </c>
      <c r="AE20" s="179">
        <f t="shared" si="4"/>
        <v>0</v>
      </c>
      <c r="AF20" s="26">
        <f t="shared" si="5"/>
        <v>0</v>
      </c>
      <c r="AG20" s="157">
        <f t="shared" si="6"/>
        <v>0</v>
      </c>
      <c r="AJ20" s="2" t="s">
        <v>45</v>
      </c>
      <c r="AK20" s="2">
        <f>SUM(AL20:AN20)</f>
        <v>19</v>
      </c>
      <c r="AL20" s="5">
        <f>COUNTIFS(E3:E40,AJ20,H3:H40,AL19)</f>
        <v>3</v>
      </c>
      <c r="AM20" s="6">
        <f>COUNTIFS(E3:E40,AJ20,H3:H40,AM19)</f>
        <v>5</v>
      </c>
      <c r="AN20" s="7">
        <f>COUNTIFS(E3:E40,AJ20,H3:H40,AN19)</f>
        <v>11</v>
      </c>
      <c r="AO20" s="26">
        <f>AL20*3+AM20</f>
        <v>14</v>
      </c>
      <c r="AP20" s="10">
        <f>AL20/AK20</f>
        <v>0.15789473684210525</v>
      </c>
      <c r="AQ20" s="2">
        <f>SUMIF(E:E,AJ20,F:F)</f>
        <v>17</v>
      </c>
      <c r="AR20" s="2">
        <f>SUMIF(E:E,AJ20,G:G)</f>
        <v>25</v>
      </c>
      <c r="AS20" s="2">
        <f>AQ20-AR20</f>
        <v>-8</v>
      </c>
      <c r="AT20" s="22">
        <f>AO20/AK20</f>
        <v>0.73684210526315785</v>
      </c>
      <c r="AU20" s="22">
        <f>AQ20/AK20</f>
        <v>0.89473684210526316</v>
      </c>
      <c r="AV20" s="22">
        <f>AR20/AK20</f>
        <v>1.3157894736842106</v>
      </c>
      <c r="AX20" s="20"/>
      <c r="AY20" s="20"/>
      <c r="AZ20" s="5"/>
      <c r="BA20" s="6"/>
      <c r="BB20" s="7"/>
      <c r="BC20" s="26"/>
      <c r="BD20" s="11"/>
      <c r="BE20" s="25"/>
    </row>
    <row r="21" spans="1:57">
      <c r="A21" s="110" t="s">
        <v>42</v>
      </c>
      <c r="B21" s="106">
        <v>45469</v>
      </c>
      <c r="C21" s="24">
        <v>19</v>
      </c>
      <c r="D21" s="24" t="s">
        <v>77</v>
      </c>
      <c r="E21" s="24" t="s">
        <v>49</v>
      </c>
      <c r="F21" s="24">
        <v>0</v>
      </c>
      <c r="G21" s="24">
        <v>1</v>
      </c>
      <c r="H21" s="41" t="s">
        <v>33</v>
      </c>
      <c r="I21" s="24" t="s">
        <v>274</v>
      </c>
      <c r="J21" s="24" t="s">
        <v>262</v>
      </c>
      <c r="K21" s="24" t="s">
        <v>263</v>
      </c>
      <c r="L21" s="57"/>
      <c r="M21" s="58"/>
      <c r="N21" s="58"/>
      <c r="O21" s="58"/>
      <c r="P21" s="59"/>
      <c r="Q21" s="143"/>
      <c r="R21" s="58"/>
      <c r="S21" s="58"/>
      <c r="T21" s="58"/>
      <c r="U21" s="61"/>
      <c r="V21" s="193"/>
      <c r="X21" s="149" t="s">
        <v>174</v>
      </c>
      <c r="Y21" s="153">
        <f t="shared" si="0"/>
        <v>0</v>
      </c>
      <c r="Z21" s="2">
        <f>COUNTIF(출전기록!B$2:L$39,'2024 토탈'!X21)</f>
        <v>0</v>
      </c>
      <c r="AA21" s="159">
        <f>COUNTIF(출전기록!M$2:Q$39,'2024 토탈'!X21)</f>
        <v>0</v>
      </c>
      <c r="AB21" s="180">
        <f t="shared" si="1"/>
        <v>0</v>
      </c>
      <c r="AC21" s="181">
        <f t="shared" si="2"/>
        <v>0</v>
      </c>
      <c r="AD21" s="182">
        <f t="shared" si="3"/>
        <v>0</v>
      </c>
      <c r="AE21" s="179">
        <f t="shared" si="4"/>
        <v>0</v>
      </c>
      <c r="AF21" s="26">
        <f t="shared" si="5"/>
        <v>0</v>
      </c>
      <c r="AG21" s="157">
        <f t="shared" si="6"/>
        <v>0</v>
      </c>
      <c r="AJ21" s="2" t="s">
        <v>49</v>
      </c>
      <c r="AK21" s="2">
        <f>SUM(AL21:AN21)</f>
        <v>19</v>
      </c>
      <c r="AL21" s="5">
        <f>COUNTIFS(E3:E40,AJ21,H3:H40,AL19)</f>
        <v>6</v>
      </c>
      <c r="AM21" s="6">
        <f>COUNTIFS(E3:E40,AJ21,H3:H40,AM19)</f>
        <v>7</v>
      </c>
      <c r="AN21" s="7">
        <f>COUNTIFS(E3:E40,AJ21,H3:H40,AN19)</f>
        <v>6</v>
      </c>
      <c r="AO21" s="26">
        <f>AL21*3+AM21</f>
        <v>25</v>
      </c>
      <c r="AP21" s="23">
        <f>AL21/AK21</f>
        <v>0.31578947368421051</v>
      </c>
      <c r="AQ21" s="2">
        <f>SUMIF(E:E,AJ21,F:F)</f>
        <v>22</v>
      </c>
      <c r="AR21" s="2">
        <f>SUMIF(E:E,AJ21,G:G)</f>
        <v>25</v>
      </c>
      <c r="AS21" s="2">
        <f>AQ21-AR21</f>
        <v>-3</v>
      </c>
      <c r="AT21" s="22">
        <f>AO21/AK21</f>
        <v>1.3157894736842106</v>
      </c>
      <c r="AU21" s="22">
        <f>AQ21/AK21</f>
        <v>1.1578947368421053</v>
      </c>
      <c r="AV21" s="22">
        <f>AR21/AK21</f>
        <v>1.3157894736842106</v>
      </c>
      <c r="AX21" s="20"/>
      <c r="AY21" s="20"/>
      <c r="AZ21" s="5"/>
      <c r="BA21" s="6"/>
      <c r="BB21" s="7"/>
      <c r="BC21" s="26"/>
      <c r="BD21" s="11"/>
      <c r="BE21" s="25"/>
    </row>
    <row r="22" spans="1:57">
      <c r="A22" s="75" t="s">
        <v>42</v>
      </c>
      <c r="B22" s="106">
        <v>45473</v>
      </c>
      <c r="C22" s="24">
        <v>20</v>
      </c>
      <c r="D22" s="24" t="s">
        <v>71</v>
      </c>
      <c r="E22" s="24" t="s">
        <v>45</v>
      </c>
      <c r="F22" s="24">
        <v>0</v>
      </c>
      <c r="G22" s="24">
        <v>1</v>
      </c>
      <c r="H22" s="41" t="s">
        <v>33</v>
      </c>
      <c r="I22" s="24" t="s">
        <v>275</v>
      </c>
      <c r="J22" s="24" t="s">
        <v>253</v>
      </c>
      <c r="K22" s="24" t="s">
        <v>254</v>
      </c>
      <c r="L22" s="57"/>
      <c r="M22" s="58"/>
      <c r="N22" s="58"/>
      <c r="O22" s="58"/>
      <c r="P22" s="59"/>
      <c r="Q22" s="143"/>
      <c r="R22" s="58"/>
      <c r="S22" s="58"/>
      <c r="T22" s="58"/>
      <c r="U22" s="61"/>
      <c r="V22" s="193">
        <v>6164</v>
      </c>
      <c r="X22" s="149" t="s">
        <v>276</v>
      </c>
      <c r="Y22" s="153">
        <f t="shared" si="0"/>
        <v>0</v>
      </c>
      <c r="Z22" s="2">
        <f>COUNTIF(출전기록!B$2:L$39,'2024 토탈'!X22)</f>
        <v>0</v>
      </c>
      <c r="AA22" s="159">
        <f>COUNTIF(출전기록!M$2:Q$39,'2024 토탈'!X22)</f>
        <v>0</v>
      </c>
      <c r="AB22" s="180">
        <f t="shared" si="1"/>
        <v>0</v>
      </c>
      <c r="AC22" s="181">
        <f t="shared" si="2"/>
        <v>0</v>
      </c>
      <c r="AD22" s="182">
        <f t="shared" si="3"/>
        <v>0</v>
      </c>
      <c r="AE22" s="179">
        <f t="shared" si="4"/>
        <v>0</v>
      </c>
      <c r="AF22" s="26">
        <f t="shared" si="5"/>
        <v>0</v>
      </c>
      <c r="AG22" s="157">
        <f t="shared" si="6"/>
        <v>0</v>
      </c>
      <c r="AJ22" s="13" t="s">
        <v>60</v>
      </c>
      <c r="AK22" s="13">
        <f>SUM(AK20:AK21)</f>
        <v>38</v>
      </c>
      <c r="AL22" s="13">
        <f>SUM(AL20:AL21)</f>
        <v>9</v>
      </c>
      <c r="AM22" s="13">
        <f>SUM(AM20:AM21)</f>
        <v>12</v>
      </c>
      <c r="AN22" s="13">
        <f>SUM(AN20:AN21)</f>
        <v>17</v>
      </c>
      <c r="AO22" s="13">
        <f>SUM(AO20:AO21)</f>
        <v>39</v>
      </c>
      <c r="AP22" s="14">
        <f>AL22/AK22</f>
        <v>0.23684210526315788</v>
      </c>
      <c r="AQ22" s="13">
        <f>SUM(AQ20:AQ21)</f>
        <v>39</v>
      </c>
      <c r="AR22" s="13">
        <f>SUM(AR20:AR21)</f>
        <v>50</v>
      </c>
      <c r="AS22" s="13">
        <f>SUM(AS20:AS21)</f>
        <v>-11</v>
      </c>
      <c r="AT22" s="32">
        <f>AO22/AK22</f>
        <v>1.0263157894736843</v>
      </c>
      <c r="AU22" s="32">
        <f>AQ22/AK22</f>
        <v>1.0263157894736843</v>
      </c>
      <c r="AV22" s="32">
        <f>AR22/AK22</f>
        <v>1.3157894736842106</v>
      </c>
      <c r="AX22" s="20"/>
      <c r="AY22" s="20"/>
      <c r="AZ22" s="5"/>
      <c r="BA22" s="6"/>
      <c r="BB22" s="7"/>
      <c r="BC22" s="26"/>
      <c r="BD22" s="11"/>
      <c r="BE22" s="25"/>
    </row>
    <row r="23" spans="1:57">
      <c r="A23" s="68" t="s">
        <v>42</v>
      </c>
      <c r="B23" s="106">
        <v>45478</v>
      </c>
      <c r="C23" s="235">
        <v>21</v>
      </c>
      <c r="D23" s="73" t="s">
        <v>72</v>
      </c>
      <c r="E23" s="24" t="s">
        <v>45</v>
      </c>
      <c r="F23" s="24">
        <v>1</v>
      </c>
      <c r="G23" s="24">
        <v>1</v>
      </c>
      <c r="H23" s="41" t="s">
        <v>32</v>
      </c>
      <c r="I23" s="24" t="s">
        <v>259</v>
      </c>
      <c r="J23" s="24" t="s">
        <v>251</v>
      </c>
      <c r="K23" s="24" t="s">
        <v>260</v>
      </c>
      <c r="L23" s="57" t="s">
        <v>46</v>
      </c>
      <c r="M23" s="58"/>
      <c r="N23" s="58"/>
      <c r="O23" s="58"/>
      <c r="P23" s="59"/>
      <c r="Q23" s="143" t="s">
        <v>171</v>
      </c>
      <c r="R23" s="58"/>
      <c r="S23" s="58"/>
      <c r="T23" s="58"/>
      <c r="U23" s="61"/>
      <c r="V23" s="193">
        <v>7012</v>
      </c>
      <c r="X23" s="149" t="s">
        <v>175</v>
      </c>
      <c r="Y23" s="153">
        <f t="shared" si="0"/>
        <v>0</v>
      </c>
      <c r="Z23" s="2">
        <f>COUNTIF(출전기록!B$2:L$39,'2024 토탈'!X23)</f>
        <v>0</v>
      </c>
      <c r="AA23" s="159">
        <f>COUNTIF(출전기록!M$2:Q$39,'2024 토탈'!X23)</f>
        <v>0</v>
      </c>
      <c r="AB23" s="180">
        <f t="shared" si="1"/>
        <v>0</v>
      </c>
      <c r="AC23" s="181">
        <f t="shared" si="2"/>
        <v>0</v>
      </c>
      <c r="AD23" s="182">
        <f t="shared" si="3"/>
        <v>0</v>
      </c>
      <c r="AE23" s="179">
        <f t="shared" si="4"/>
        <v>0</v>
      </c>
      <c r="AF23" s="26">
        <f t="shared" si="5"/>
        <v>0</v>
      </c>
      <c r="AG23" s="157">
        <f t="shared" si="6"/>
        <v>0</v>
      </c>
      <c r="AJ23" s="4" t="s">
        <v>66</v>
      </c>
      <c r="AK23" s="4" t="s">
        <v>30</v>
      </c>
      <c r="AL23" s="4" t="s">
        <v>31</v>
      </c>
      <c r="AM23" s="4" t="s">
        <v>32</v>
      </c>
      <c r="AN23" s="4" t="s">
        <v>33</v>
      </c>
      <c r="AO23" s="4" t="s">
        <v>34</v>
      </c>
      <c r="AP23" s="4" t="s">
        <v>35</v>
      </c>
      <c r="AQ23" s="4" t="s">
        <v>8</v>
      </c>
      <c r="AR23" s="4" t="s">
        <v>9</v>
      </c>
      <c r="AS23" s="4" t="s">
        <v>36</v>
      </c>
      <c r="AX23" s="20"/>
      <c r="AY23" s="20"/>
      <c r="AZ23" s="5"/>
      <c r="BA23" s="6"/>
      <c r="BB23" s="7"/>
      <c r="BC23" s="26"/>
      <c r="BD23" s="11"/>
      <c r="BE23" s="25"/>
    </row>
    <row r="24" spans="1:57">
      <c r="A24" s="110" t="s">
        <v>42</v>
      </c>
      <c r="B24" s="106">
        <v>45482</v>
      </c>
      <c r="C24" s="24">
        <v>22</v>
      </c>
      <c r="D24" s="24" t="s">
        <v>265</v>
      </c>
      <c r="E24" s="24" t="s">
        <v>49</v>
      </c>
      <c r="F24" s="24">
        <v>0</v>
      </c>
      <c r="G24" s="24">
        <v>0</v>
      </c>
      <c r="H24" s="41" t="s">
        <v>32</v>
      </c>
      <c r="I24" s="24" t="s">
        <v>252</v>
      </c>
      <c r="J24" s="24" t="s">
        <v>262</v>
      </c>
      <c r="K24" s="24" t="s">
        <v>263</v>
      </c>
      <c r="L24" s="57"/>
      <c r="M24" s="58"/>
      <c r="N24" s="58"/>
      <c r="O24" s="58"/>
      <c r="P24" s="59"/>
      <c r="Q24" s="143"/>
      <c r="R24" s="58"/>
      <c r="S24" s="58"/>
      <c r="T24" s="58"/>
      <c r="U24" s="61"/>
      <c r="V24" s="193"/>
      <c r="X24" s="149" t="s">
        <v>183</v>
      </c>
      <c r="Y24" s="153">
        <f t="shared" si="0"/>
        <v>0</v>
      </c>
      <c r="Z24" s="2">
        <f>COUNTIF(출전기록!B$2:L$39,'2024 토탈'!X24)</f>
        <v>0</v>
      </c>
      <c r="AA24" s="159">
        <f>COUNTIF(출전기록!M$2:Q$39,'2024 토탈'!X24)</f>
        <v>0</v>
      </c>
      <c r="AB24" s="180">
        <f t="shared" si="1"/>
        <v>0</v>
      </c>
      <c r="AC24" s="181">
        <f t="shared" si="2"/>
        <v>0</v>
      </c>
      <c r="AD24" s="182">
        <f t="shared" si="3"/>
        <v>0</v>
      </c>
      <c r="AE24" s="179">
        <f t="shared" si="4"/>
        <v>0</v>
      </c>
      <c r="AF24" s="26">
        <f t="shared" si="5"/>
        <v>0</v>
      </c>
      <c r="AG24" s="157">
        <f t="shared" si="6"/>
        <v>0</v>
      </c>
      <c r="AI24" s="2" t="s">
        <v>42</v>
      </c>
      <c r="AJ24" s="2" t="s">
        <v>55</v>
      </c>
      <c r="AK24" s="2">
        <f t="shared" ref="AK24:AK34" si="18">SUM(AL24:AN24)</f>
        <v>3</v>
      </c>
      <c r="AL24" s="5">
        <f t="shared" ref="AL24:AL34" si="19">COUNTIFS(A:A,AI24,D:D,AJ24,H:H,"승")</f>
        <v>0</v>
      </c>
      <c r="AM24" s="6">
        <f t="shared" ref="AM24:AM34" si="20">COUNTIFS(A:A,AI24,D:D,AJ24,H:H,"무")</f>
        <v>3</v>
      </c>
      <c r="AN24" s="7">
        <f t="shared" ref="AN24:AN34" si="21">COUNTIFS(A:A,AI24,D:D,AJ24,H:H,"패")</f>
        <v>0</v>
      </c>
      <c r="AO24" s="26">
        <f t="shared" ref="AO24:AO34" si="22">AL24*3+AM24</f>
        <v>3</v>
      </c>
      <c r="AP24" s="23">
        <f t="shared" ref="AP24:AP34" si="23">AL24/AK24</f>
        <v>0</v>
      </c>
      <c r="AQ24" s="2">
        <f t="shared" ref="AQ24:AQ34" si="24">SUMIF(D:D,AJ24,F:F)</f>
        <v>4</v>
      </c>
      <c r="AR24" s="2">
        <f t="shared" ref="AR24:AR34" si="25">SUMIF(D:D,AJ24,G:G)</f>
        <v>5</v>
      </c>
      <c r="AS24" s="2">
        <f t="shared" ref="AS24:AS34" si="26">AQ24-AR24</f>
        <v>-1</v>
      </c>
    </row>
    <row r="25" spans="1:57">
      <c r="A25" s="75" t="s">
        <v>42</v>
      </c>
      <c r="B25" s="105">
        <v>45487</v>
      </c>
      <c r="C25" s="30">
        <v>23</v>
      </c>
      <c r="D25" s="30" t="s">
        <v>48</v>
      </c>
      <c r="E25" s="30" t="s">
        <v>49</v>
      </c>
      <c r="F25" s="30">
        <v>2</v>
      </c>
      <c r="G25" s="30">
        <v>0</v>
      </c>
      <c r="H25" s="40" t="s">
        <v>31</v>
      </c>
      <c r="I25" s="30" t="s">
        <v>252</v>
      </c>
      <c r="J25" s="30" t="s">
        <v>266</v>
      </c>
      <c r="K25" s="30" t="s">
        <v>254</v>
      </c>
      <c r="L25" s="53" t="s">
        <v>277</v>
      </c>
      <c r="M25" s="15" t="s">
        <v>166</v>
      </c>
      <c r="N25" s="15"/>
      <c r="O25" s="15"/>
      <c r="P25" s="54"/>
      <c r="Q25" s="171"/>
      <c r="R25" s="15"/>
      <c r="S25" s="15"/>
      <c r="T25" s="15"/>
      <c r="U25" s="56"/>
      <c r="V25" s="192"/>
      <c r="X25" s="150" t="s">
        <v>277</v>
      </c>
      <c r="Y25" s="153">
        <f t="shared" si="0"/>
        <v>27</v>
      </c>
      <c r="Z25" s="2">
        <f>COUNTIF(출전기록!B$2:L$39,'2024 토탈'!X25)</f>
        <v>27</v>
      </c>
      <c r="AA25" s="159">
        <f>COUNTIF(출전기록!M$2:Q$39,'2024 토탈'!X25)</f>
        <v>0</v>
      </c>
      <c r="AB25" s="180">
        <f t="shared" si="1"/>
        <v>1</v>
      </c>
      <c r="AC25" s="181">
        <f t="shared" si="2"/>
        <v>0</v>
      </c>
      <c r="AD25" s="182">
        <f t="shared" si="3"/>
        <v>1</v>
      </c>
      <c r="AE25" s="179">
        <f t="shared" si="4"/>
        <v>1</v>
      </c>
      <c r="AF25" s="26">
        <f t="shared" si="5"/>
        <v>0</v>
      </c>
      <c r="AG25" s="157">
        <f t="shared" si="6"/>
        <v>1</v>
      </c>
      <c r="AI25" s="2" t="s">
        <v>42</v>
      </c>
      <c r="AJ25" s="2" t="s">
        <v>57</v>
      </c>
      <c r="AK25" s="2">
        <f t="shared" si="18"/>
        <v>3</v>
      </c>
      <c r="AL25" s="5">
        <f t="shared" si="19"/>
        <v>0</v>
      </c>
      <c r="AM25" s="6">
        <f t="shared" si="20"/>
        <v>1</v>
      </c>
      <c r="AN25" s="7">
        <f t="shared" si="21"/>
        <v>2</v>
      </c>
      <c r="AO25" s="26">
        <f t="shared" si="22"/>
        <v>1</v>
      </c>
      <c r="AP25" s="23">
        <f t="shared" si="23"/>
        <v>0</v>
      </c>
      <c r="AQ25" s="2">
        <f t="shared" si="24"/>
        <v>1</v>
      </c>
      <c r="AR25" s="2">
        <f t="shared" si="25"/>
        <v>4</v>
      </c>
      <c r="AS25" s="2">
        <f t="shared" si="26"/>
        <v>-3</v>
      </c>
    </row>
    <row r="26" spans="1:57">
      <c r="A26" s="75" t="s">
        <v>42</v>
      </c>
      <c r="B26" s="105">
        <v>45494</v>
      </c>
      <c r="C26" s="30">
        <v>24</v>
      </c>
      <c r="D26" s="30" t="s">
        <v>246</v>
      </c>
      <c r="E26" s="30" t="s">
        <v>45</v>
      </c>
      <c r="F26" s="30">
        <v>1</v>
      </c>
      <c r="G26" s="30">
        <v>4</v>
      </c>
      <c r="H26" s="40" t="s">
        <v>33</v>
      </c>
      <c r="I26" s="30" t="s">
        <v>275</v>
      </c>
      <c r="J26" s="30" t="s">
        <v>253</v>
      </c>
      <c r="K26" s="30" t="s">
        <v>263</v>
      </c>
      <c r="L26" s="53" t="s">
        <v>46</v>
      </c>
      <c r="M26" s="15"/>
      <c r="N26" s="15"/>
      <c r="O26" s="15"/>
      <c r="P26" s="54"/>
      <c r="Q26" s="171" t="s">
        <v>171</v>
      </c>
      <c r="R26" s="15"/>
      <c r="S26" s="15"/>
      <c r="T26" s="15"/>
      <c r="U26" s="56"/>
      <c r="V26" s="192">
        <v>10303</v>
      </c>
      <c r="X26" s="150" t="s">
        <v>177</v>
      </c>
      <c r="Y26" s="153">
        <f t="shared" si="0"/>
        <v>14</v>
      </c>
      <c r="Z26" s="2">
        <f>COUNTIF(출전기록!B$2:L$39,'2024 토탈'!X26)</f>
        <v>12</v>
      </c>
      <c r="AA26" s="159">
        <f>COUNTIF(출전기록!M$2:Q$39,'2024 토탈'!X26)</f>
        <v>2</v>
      </c>
      <c r="AB26" s="180">
        <f t="shared" si="1"/>
        <v>1</v>
      </c>
      <c r="AC26" s="181">
        <f t="shared" si="2"/>
        <v>0</v>
      </c>
      <c r="AD26" s="182">
        <f t="shared" si="3"/>
        <v>1</v>
      </c>
      <c r="AE26" s="179">
        <f t="shared" si="4"/>
        <v>1</v>
      </c>
      <c r="AF26" s="26">
        <f t="shared" si="5"/>
        <v>0</v>
      </c>
      <c r="AG26" s="157">
        <f t="shared" si="6"/>
        <v>1</v>
      </c>
      <c r="AI26" s="2" t="s">
        <v>42</v>
      </c>
      <c r="AJ26" s="2" t="s">
        <v>48</v>
      </c>
      <c r="AK26" s="2">
        <f t="shared" si="18"/>
        <v>4</v>
      </c>
      <c r="AL26" s="5">
        <f t="shared" si="19"/>
        <v>3</v>
      </c>
      <c r="AM26" s="6">
        <f t="shared" si="20"/>
        <v>1</v>
      </c>
      <c r="AN26" s="7">
        <f t="shared" si="21"/>
        <v>0</v>
      </c>
      <c r="AO26" s="26">
        <f t="shared" si="22"/>
        <v>10</v>
      </c>
      <c r="AP26" s="23">
        <f t="shared" si="23"/>
        <v>0.75</v>
      </c>
      <c r="AQ26" s="2">
        <f t="shared" si="24"/>
        <v>7</v>
      </c>
      <c r="AR26" s="2">
        <f t="shared" si="25"/>
        <v>3</v>
      </c>
      <c r="AS26" s="2">
        <f t="shared" si="26"/>
        <v>4</v>
      </c>
    </row>
    <row r="27" spans="1:57">
      <c r="A27" s="72" t="s">
        <v>42</v>
      </c>
      <c r="B27" s="105">
        <v>45500</v>
      </c>
      <c r="C27" s="235">
        <v>25</v>
      </c>
      <c r="D27" s="73" t="s">
        <v>44</v>
      </c>
      <c r="E27" s="30" t="s">
        <v>45</v>
      </c>
      <c r="F27" s="30">
        <v>0</v>
      </c>
      <c r="G27" s="30">
        <v>1</v>
      </c>
      <c r="H27" s="40" t="s">
        <v>33</v>
      </c>
      <c r="I27" s="30" t="s">
        <v>252</v>
      </c>
      <c r="J27" s="30" t="s">
        <v>262</v>
      </c>
      <c r="K27" s="30" t="s">
        <v>263</v>
      </c>
      <c r="L27" s="53"/>
      <c r="M27" s="15"/>
      <c r="N27" s="15"/>
      <c r="O27" s="15"/>
      <c r="P27" s="54"/>
      <c r="Q27" s="171"/>
      <c r="R27" s="15"/>
      <c r="S27" s="15"/>
      <c r="T27" s="15"/>
      <c r="U27" s="56"/>
      <c r="V27" s="192">
        <v>15213</v>
      </c>
      <c r="X27" s="150" t="s">
        <v>278</v>
      </c>
      <c r="Y27" s="153">
        <f t="shared" si="0"/>
        <v>14</v>
      </c>
      <c r="Z27" s="2">
        <f>COUNTIF(출전기록!B$2:L$39,'2024 토탈'!X27)</f>
        <v>10</v>
      </c>
      <c r="AA27" s="159">
        <f>COUNTIF(출전기록!M$2:Q$39,'2024 토탈'!X27)</f>
        <v>4</v>
      </c>
      <c r="AB27" s="180">
        <f t="shared" si="1"/>
        <v>0</v>
      </c>
      <c r="AC27" s="181">
        <f t="shared" si="2"/>
        <v>0</v>
      </c>
      <c r="AD27" s="182">
        <f t="shared" si="3"/>
        <v>0</v>
      </c>
      <c r="AE27" s="179">
        <f t="shared" si="4"/>
        <v>0</v>
      </c>
      <c r="AF27" s="26">
        <f t="shared" si="5"/>
        <v>0</v>
      </c>
      <c r="AG27" s="157">
        <f t="shared" si="6"/>
        <v>0</v>
      </c>
      <c r="AI27" s="2" t="s">
        <v>42</v>
      </c>
      <c r="AJ27" s="2" t="s">
        <v>67</v>
      </c>
      <c r="AK27" s="2">
        <f t="shared" si="18"/>
        <v>4</v>
      </c>
      <c r="AL27" s="5">
        <f t="shared" si="19"/>
        <v>1</v>
      </c>
      <c r="AM27" s="6">
        <f t="shared" si="20"/>
        <v>2</v>
      </c>
      <c r="AN27" s="7">
        <f t="shared" si="21"/>
        <v>1</v>
      </c>
      <c r="AO27" s="26">
        <f t="shared" si="22"/>
        <v>5</v>
      </c>
      <c r="AP27" s="23">
        <f t="shared" si="23"/>
        <v>0.25</v>
      </c>
      <c r="AQ27" s="2">
        <f t="shared" si="24"/>
        <v>5</v>
      </c>
      <c r="AR27" s="2">
        <f t="shared" si="25"/>
        <v>3</v>
      </c>
      <c r="AS27" s="2">
        <f t="shared" si="26"/>
        <v>2</v>
      </c>
    </row>
    <row r="28" spans="1:57">
      <c r="A28" s="72" t="s">
        <v>42</v>
      </c>
      <c r="B28" s="105">
        <v>45514</v>
      </c>
      <c r="C28" s="30">
        <v>26</v>
      </c>
      <c r="D28" s="30" t="s">
        <v>77</v>
      </c>
      <c r="E28" s="30" t="s">
        <v>49</v>
      </c>
      <c r="F28" s="30">
        <v>1</v>
      </c>
      <c r="G28" s="30">
        <v>0</v>
      </c>
      <c r="H28" s="40" t="s">
        <v>31</v>
      </c>
      <c r="I28" s="30" t="s">
        <v>252</v>
      </c>
      <c r="J28" s="30" t="s">
        <v>251</v>
      </c>
      <c r="K28" s="30" t="s">
        <v>260</v>
      </c>
      <c r="L28" s="53" t="s">
        <v>46</v>
      </c>
      <c r="M28" s="15"/>
      <c r="N28" s="15"/>
      <c r="O28" s="15"/>
      <c r="P28" s="54"/>
      <c r="Q28" s="171" t="s">
        <v>268</v>
      </c>
      <c r="R28" s="15"/>
      <c r="S28" s="15"/>
      <c r="T28" s="15"/>
      <c r="U28" s="56"/>
      <c r="V28" s="192"/>
      <c r="X28" s="150" t="s">
        <v>189</v>
      </c>
      <c r="Y28" s="153">
        <f t="shared" si="0"/>
        <v>19</v>
      </c>
      <c r="Z28" s="2">
        <f>COUNTIF(출전기록!B$2:L$39,'2024 토탈'!X28)</f>
        <v>11</v>
      </c>
      <c r="AA28" s="159">
        <f>COUNTIF(출전기록!M$2:Q$39,'2024 토탈'!X28)</f>
        <v>8</v>
      </c>
      <c r="AB28" s="180">
        <f t="shared" si="1"/>
        <v>1</v>
      </c>
      <c r="AC28" s="181">
        <f t="shared" si="2"/>
        <v>0</v>
      </c>
      <c r="AD28" s="182">
        <f t="shared" si="3"/>
        <v>1</v>
      </c>
      <c r="AE28" s="179">
        <f t="shared" si="4"/>
        <v>1</v>
      </c>
      <c r="AF28" s="26">
        <f t="shared" si="5"/>
        <v>0</v>
      </c>
      <c r="AG28" s="157">
        <f t="shared" si="6"/>
        <v>1</v>
      </c>
      <c r="AI28" s="2" t="s">
        <v>42</v>
      </c>
      <c r="AJ28" s="2" t="s">
        <v>265</v>
      </c>
      <c r="AK28" s="2">
        <f t="shared" si="18"/>
        <v>4</v>
      </c>
      <c r="AL28" s="5">
        <f t="shared" si="19"/>
        <v>2</v>
      </c>
      <c r="AM28" s="6">
        <f t="shared" si="20"/>
        <v>2</v>
      </c>
      <c r="AN28" s="7">
        <f t="shared" si="21"/>
        <v>0</v>
      </c>
      <c r="AO28" s="26">
        <f t="shared" si="22"/>
        <v>8</v>
      </c>
      <c r="AP28" s="23">
        <f t="shared" si="23"/>
        <v>0.5</v>
      </c>
      <c r="AQ28" s="2">
        <f t="shared" si="24"/>
        <v>6</v>
      </c>
      <c r="AR28" s="2">
        <f t="shared" si="25"/>
        <v>3</v>
      </c>
      <c r="AS28" s="2">
        <f t="shared" si="26"/>
        <v>3</v>
      </c>
    </row>
    <row r="29" spans="1:57">
      <c r="A29" s="72" t="s">
        <v>42</v>
      </c>
      <c r="B29" s="105">
        <v>45521</v>
      </c>
      <c r="C29" s="235">
        <v>27</v>
      </c>
      <c r="D29" s="73" t="s">
        <v>61</v>
      </c>
      <c r="E29" s="30" t="s">
        <v>49</v>
      </c>
      <c r="F29" s="30">
        <v>1</v>
      </c>
      <c r="G29" s="30">
        <v>2</v>
      </c>
      <c r="H29" s="40" t="s">
        <v>33</v>
      </c>
      <c r="I29" s="30" t="s">
        <v>252</v>
      </c>
      <c r="J29" s="30" t="s">
        <v>262</v>
      </c>
      <c r="K29" s="30" t="s">
        <v>263</v>
      </c>
      <c r="L29" s="53" t="s">
        <v>46</v>
      </c>
      <c r="M29" s="15"/>
      <c r="N29" s="15"/>
      <c r="O29" s="15"/>
      <c r="P29" s="54"/>
      <c r="Q29" s="171" t="s">
        <v>279</v>
      </c>
      <c r="R29" s="15"/>
      <c r="S29" s="15"/>
      <c r="T29" s="15"/>
      <c r="U29" s="56"/>
      <c r="V29" s="192"/>
      <c r="X29" s="150" t="s">
        <v>97</v>
      </c>
      <c r="Y29" s="153">
        <f t="shared" si="0"/>
        <v>27</v>
      </c>
      <c r="Z29" s="2">
        <f>COUNTIF(출전기록!B$2:L$39,'2024 토탈'!X29)</f>
        <v>20</v>
      </c>
      <c r="AA29" s="159">
        <f>COUNTIF(출전기록!M$2:Q$39,'2024 토탈'!X29)</f>
        <v>7</v>
      </c>
      <c r="AB29" s="180">
        <f t="shared" si="1"/>
        <v>0</v>
      </c>
      <c r="AC29" s="181">
        <f t="shared" si="2"/>
        <v>1</v>
      </c>
      <c r="AD29" s="182">
        <f t="shared" si="3"/>
        <v>1</v>
      </c>
      <c r="AE29" s="179">
        <f t="shared" si="4"/>
        <v>0</v>
      </c>
      <c r="AF29" s="26">
        <f t="shared" si="5"/>
        <v>1</v>
      </c>
      <c r="AG29" s="157">
        <f t="shared" si="6"/>
        <v>1</v>
      </c>
      <c r="AI29" s="2" t="s">
        <v>42</v>
      </c>
      <c r="AJ29" s="2" t="s">
        <v>44</v>
      </c>
      <c r="AK29" s="2">
        <f t="shared" si="18"/>
        <v>3</v>
      </c>
      <c r="AL29" s="5">
        <f t="shared" si="19"/>
        <v>0</v>
      </c>
      <c r="AM29" s="6">
        <f t="shared" si="20"/>
        <v>1</v>
      </c>
      <c r="AN29" s="7">
        <f t="shared" si="21"/>
        <v>2</v>
      </c>
      <c r="AO29" s="26">
        <f t="shared" si="22"/>
        <v>1</v>
      </c>
      <c r="AP29" s="23">
        <f t="shared" si="23"/>
        <v>0</v>
      </c>
      <c r="AQ29" s="2">
        <f t="shared" si="24"/>
        <v>1</v>
      </c>
      <c r="AR29" s="2">
        <f t="shared" si="25"/>
        <v>3</v>
      </c>
      <c r="AS29" s="2">
        <f t="shared" si="26"/>
        <v>-2</v>
      </c>
    </row>
    <row r="30" spans="1:57">
      <c r="A30" s="72" t="s">
        <v>42</v>
      </c>
      <c r="B30" s="105">
        <v>45528</v>
      </c>
      <c r="C30" s="30">
        <v>28</v>
      </c>
      <c r="D30" s="30" t="s">
        <v>67</v>
      </c>
      <c r="E30" s="30" t="s">
        <v>45</v>
      </c>
      <c r="F30" s="30">
        <v>0</v>
      </c>
      <c r="G30" s="30">
        <v>1</v>
      </c>
      <c r="H30" s="40" t="s">
        <v>33</v>
      </c>
      <c r="I30" s="30" t="s">
        <v>275</v>
      </c>
      <c r="J30" s="30" t="s">
        <v>262</v>
      </c>
      <c r="K30" s="30" t="s">
        <v>254</v>
      </c>
      <c r="L30" s="53"/>
      <c r="M30" s="15"/>
      <c r="N30" s="15"/>
      <c r="O30" s="15"/>
      <c r="P30" s="54"/>
      <c r="Q30" s="171"/>
      <c r="R30" s="15"/>
      <c r="S30" s="15"/>
      <c r="T30" s="15"/>
      <c r="U30" s="56"/>
      <c r="V30" s="193">
        <v>15422</v>
      </c>
      <c r="X30" s="150" t="s">
        <v>280</v>
      </c>
      <c r="Y30" s="153">
        <f t="shared" si="0"/>
        <v>7</v>
      </c>
      <c r="Z30" s="2">
        <f>COUNTIF(출전기록!B$2:L$39,'2024 토탈'!X30)</f>
        <v>6</v>
      </c>
      <c r="AA30" s="159">
        <f>COUNTIF(출전기록!M$2:Q$39,'2024 토탈'!X30)</f>
        <v>1</v>
      </c>
      <c r="AB30" s="180">
        <f t="shared" si="1"/>
        <v>0</v>
      </c>
      <c r="AC30" s="181">
        <f t="shared" si="2"/>
        <v>0</v>
      </c>
      <c r="AD30" s="182">
        <f t="shared" si="3"/>
        <v>0</v>
      </c>
      <c r="AE30" s="179">
        <f t="shared" si="4"/>
        <v>0</v>
      </c>
      <c r="AF30" s="26">
        <f t="shared" si="5"/>
        <v>0</v>
      </c>
      <c r="AG30" s="157">
        <f t="shared" si="6"/>
        <v>0</v>
      </c>
      <c r="AI30" s="2" t="s">
        <v>42</v>
      </c>
      <c r="AJ30" s="2" t="s">
        <v>61</v>
      </c>
      <c r="AK30" s="2">
        <f t="shared" si="18"/>
        <v>4</v>
      </c>
      <c r="AL30" s="5">
        <f t="shared" si="19"/>
        <v>2</v>
      </c>
      <c r="AM30" s="6">
        <f t="shared" si="20"/>
        <v>0</v>
      </c>
      <c r="AN30" s="7">
        <f t="shared" si="21"/>
        <v>2</v>
      </c>
      <c r="AO30" s="26">
        <f t="shared" si="22"/>
        <v>6</v>
      </c>
      <c r="AP30" s="23">
        <f t="shared" si="23"/>
        <v>0.5</v>
      </c>
      <c r="AQ30" s="2">
        <f t="shared" si="24"/>
        <v>5</v>
      </c>
      <c r="AR30" s="2">
        <f t="shared" si="25"/>
        <v>4</v>
      </c>
      <c r="AS30" s="2">
        <f t="shared" si="26"/>
        <v>1</v>
      </c>
    </row>
    <row r="31" spans="1:57">
      <c r="A31" s="72" t="s">
        <v>42</v>
      </c>
      <c r="B31" s="105">
        <v>45535</v>
      </c>
      <c r="C31" s="30">
        <v>29</v>
      </c>
      <c r="D31" s="30" t="s">
        <v>265</v>
      </c>
      <c r="E31" s="30" t="s">
        <v>49</v>
      </c>
      <c r="F31" s="30">
        <v>2</v>
      </c>
      <c r="G31" s="30">
        <v>1</v>
      </c>
      <c r="H31" s="40" t="s">
        <v>31</v>
      </c>
      <c r="I31" s="30" t="s">
        <v>247</v>
      </c>
      <c r="J31" s="30" t="s">
        <v>248</v>
      </c>
      <c r="K31" s="30" t="s">
        <v>249</v>
      </c>
      <c r="L31" s="53" t="s">
        <v>46</v>
      </c>
      <c r="M31" s="15" t="s">
        <v>170</v>
      </c>
      <c r="N31" s="15"/>
      <c r="O31" s="15"/>
      <c r="P31" s="54"/>
      <c r="Q31" s="171" t="s">
        <v>143</v>
      </c>
      <c r="R31" s="15" t="s">
        <v>143</v>
      </c>
      <c r="S31" s="15"/>
      <c r="T31" s="15"/>
      <c r="U31" s="56"/>
      <c r="V31" s="192"/>
      <c r="X31" s="150" t="s">
        <v>105</v>
      </c>
      <c r="Y31" s="153">
        <f t="shared" si="0"/>
        <v>14</v>
      </c>
      <c r="Z31" s="2">
        <f>COUNTIF(출전기록!B$2:L$39,'2024 토탈'!X31)</f>
        <v>13</v>
      </c>
      <c r="AA31" s="159">
        <f>COUNTIF(출전기록!M$2:Q$39,'2024 토탈'!X31)</f>
        <v>1</v>
      </c>
      <c r="AB31" s="180">
        <f t="shared" si="1"/>
        <v>0</v>
      </c>
      <c r="AC31" s="181">
        <f t="shared" si="2"/>
        <v>1</v>
      </c>
      <c r="AD31" s="182">
        <f t="shared" si="3"/>
        <v>1</v>
      </c>
      <c r="AE31" s="179">
        <f t="shared" si="4"/>
        <v>0</v>
      </c>
      <c r="AF31" s="26">
        <f t="shared" si="5"/>
        <v>1</v>
      </c>
      <c r="AG31" s="157">
        <f t="shared" si="6"/>
        <v>1</v>
      </c>
      <c r="AI31" s="2" t="s">
        <v>42</v>
      </c>
      <c r="AJ31" s="2" t="s">
        <v>77</v>
      </c>
      <c r="AK31" s="2">
        <f t="shared" si="18"/>
        <v>4</v>
      </c>
      <c r="AL31" s="5">
        <f t="shared" si="19"/>
        <v>1</v>
      </c>
      <c r="AM31" s="6">
        <f t="shared" si="20"/>
        <v>0</v>
      </c>
      <c r="AN31" s="7">
        <f t="shared" si="21"/>
        <v>3</v>
      </c>
      <c r="AO31" s="26">
        <f t="shared" si="22"/>
        <v>3</v>
      </c>
      <c r="AP31" s="23">
        <f t="shared" si="23"/>
        <v>0.25</v>
      </c>
      <c r="AQ31" s="2">
        <f t="shared" si="24"/>
        <v>2</v>
      </c>
      <c r="AR31" s="2">
        <f t="shared" si="25"/>
        <v>4</v>
      </c>
      <c r="AS31" s="2">
        <f t="shared" si="26"/>
        <v>-2</v>
      </c>
    </row>
    <row r="32" spans="1:57">
      <c r="A32" s="75" t="s">
        <v>42</v>
      </c>
      <c r="B32" s="105">
        <v>45550</v>
      </c>
      <c r="C32" s="30">
        <v>30</v>
      </c>
      <c r="D32" s="30" t="s">
        <v>72</v>
      </c>
      <c r="E32" s="30" t="s">
        <v>49</v>
      </c>
      <c r="F32" s="30">
        <v>0</v>
      </c>
      <c r="G32" s="30">
        <v>2</v>
      </c>
      <c r="H32" s="40" t="s">
        <v>33</v>
      </c>
      <c r="I32" s="30" t="s">
        <v>252</v>
      </c>
      <c r="J32" s="30" t="s">
        <v>262</v>
      </c>
      <c r="K32" s="30" t="s">
        <v>263</v>
      </c>
      <c r="L32" s="53"/>
      <c r="M32" s="15"/>
      <c r="N32" s="15"/>
      <c r="O32" s="15"/>
      <c r="P32" s="54"/>
      <c r="Q32" s="171"/>
      <c r="R32" s="15"/>
      <c r="S32" s="15"/>
      <c r="T32" s="15"/>
      <c r="U32" s="56"/>
      <c r="V32" s="192"/>
      <c r="X32" s="150" t="s">
        <v>268</v>
      </c>
      <c r="Y32" s="153">
        <f t="shared" si="0"/>
        <v>26</v>
      </c>
      <c r="Z32" s="2">
        <f>COUNTIF(출전기록!B$2:L$39,'2024 토탈'!X32)</f>
        <v>16</v>
      </c>
      <c r="AA32" s="159">
        <f>COUNTIF(출전기록!M$2:Q$39,'2024 토탈'!X32)</f>
        <v>10</v>
      </c>
      <c r="AB32" s="180">
        <f t="shared" si="1"/>
        <v>0</v>
      </c>
      <c r="AC32" s="181">
        <f t="shared" si="2"/>
        <v>4</v>
      </c>
      <c r="AD32" s="182">
        <f t="shared" si="3"/>
        <v>4</v>
      </c>
      <c r="AE32" s="179">
        <f t="shared" si="4"/>
        <v>0</v>
      </c>
      <c r="AF32" s="26">
        <f t="shared" si="5"/>
        <v>4</v>
      </c>
      <c r="AG32" s="157">
        <f t="shared" si="6"/>
        <v>4</v>
      </c>
      <c r="AI32" s="2" t="s">
        <v>42</v>
      </c>
      <c r="AJ32" s="2" t="s">
        <v>246</v>
      </c>
      <c r="AK32" s="2">
        <f t="shared" si="18"/>
        <v>3</v>
      </c>
      <c r="AL32" s="5">
        <f t="shared" si="19"/>
        <v>0</v>
      </c>
      <c r="AM32" s="6">
        <f t="shared" si="20"/>
        <v>0</v>
      </c>
      <c r="AN32" s="7">
        <f t="shared" si="21"/>
        <v>3</v>
      </c>
      <c r="AO32" s="26">
        <f t="shared" si="22"/>
        <v>0</v>
      </c>
      <c r="AP32" s="23">
        <f t="shared" si="23"/>
        <v>0</v>
      </c>
      <c r="AQ32" s="2">
        <f t="shared" si="24"/>
        <v>2</v>
      </c>
      <c r="AR32" s="2">
        <f t="shared" si="25"/>
        <v>8</v>
      </c>
      <c r="AS32" s="2">
        <f t="shared" si="26"/>
        <v>-6</v>
      </c>
    </row>
    <row r="33" spans="1:45">
      <c r="A33" s="75" t="s">
        <v>42</v>
      </c>
      <c r="B33" s="105">
        <v>45557</v>
      </c>
      <c r="C33" s="30">
        <v>31</v>
      </c>
      <c r="D33" s="30" t="s">
        <v>55</v>
      </c>
      <c r="E33" s="30" t="s">
        <v>45</v>
      </c>
      <c r="F33" s="30">
        <v>0</v>
      </c>
      <c r="G33" s="30">
        <v>0</v>
      </c>
      <c r="H33" s="40" t="s">
        <v>32</v>
      </c>
      <c r="I33" s="30" t="s">
        <v>252</v>
      </c>
      <c r="J33" s="30" t="s">
        <v>257</v>
      </c>
      <c r="K33" s="30" t="s">
        <v>270</v>
      </c>
      <c r="L33" s="53"/>
      <c r="M33" s="15"/>
      <c r="N33" s="15"/>
      <c r="O33" s="15"/>
      <c r="P33" s="54"/>
      <c r="Q33" s="171"/>
      <c r="R33" s="15"/>
      <c r="S33" s="15"/>
      <c r="T33" s="15"/>
      <c r="U33" s="56"/>
      <c r="V33" s="192">
        <v>13888</v>
      </c>
      <c r="X33" s="150" t="s">
        <v>281</v>
      </c>
      <c r="Y33" s="153">
        <f t="shared" si="0"/>
        <v>14</v>
      </c>
      <c r="Z33" s="2">
        <f>COUNTIF(출전기록!B$2:L$39,'2024 토탈'!X33)</f>
        <v>10</v>
      </c>
      <c r="AA33" s="159">
        <f>COUNTIF(출전기록!M$2:Q$39,'2024 토탈'!X33)</f>
        <v>4</v>
      </c>
      <c r="AB33" s="180">
        <f t="shared" si="1"/>
        <v>0</v>
      </c>
      <c r="AC33" s="181">
        <f t="shared" si="2"/>
        <v>0</v>
      </c>
      <c r="AD33" s="182">
        <f t="shared" si="3"/>
        <v>0</v>
      </c>
      <c r="AE33" s="179">
        <f t="shared" si="4"/>
        <v>0</v>
      </c>
      <c r="AF33" s="26">
        <f t="shared" si="5"/>
        <v>0</v>
      </c>
      <c r="AG33" s="157">
        <f t="shared" si="6"/>
        <v>0</v>
      </c>
      <c r="AI33" s="2" t="s">
        <v>42</v>
      </c>
      <c r="AJ33" s="2" t="s">
        <v>71</v>
      </c>
      <c r="AK33" s="2">
        <f t="shared" si="18"/>
        <v>3</v>
      </c>
      <c r="AL33" s="5">
        <f t="shared" si="19"/>
        <v>0</v>
      </c>
      <c r="AM33" s="6">
        <f t="shared" si="20"/>
        <v>0</v>
      </c>
      <c r="AN33" s="7">
        <f t="shared" si="21"/>
        <v>3</v>
      </c>
      <c r="AO33" s="26">
        <f t="shared" si="22"/>
        <v>0</v>
      </c>
      <c r="AP33" s="23">
        <f t="shared" si="23"/>
        <v>0</v>
      </c>
      <c r="AQ33" s="2">
        <f t="shared" si="24"/>
        <v>2</v>
      </c>
      <c r="AR33" s="2">
        <f t="shared" si="25"/>
        <v>8</v>
      </c>
      <c r="AS33" s="2">
        <f t="shared" si="26"/>
        <v>-6</v>
      </c>
    </row>
    <row r="34" spans="1:45">
      <c r="A34" s="68" t="s">
        <v>42</v>
      </c>
      <c r="B34" s="105">
        <v>45562</v>
      </c>
      <c r="C34" s="30">
        <v>32</v>
      </c>
      <c r="D34" s="30" t="s">
        <v>57</v>
      </c>
      <c r="E34" s="30" t="s">
        <v>49</v>
      </c>
      <c r="F34" s="30">
        <v>0</v>
      </c>
      <c r="G34" s="30">
        <v>1</v>
      </c>
      <c r="H34" s="40" t="s">
        <v>33</v>
      </c>
      <c r="I34" s="30" t="s">
        <v>252</v>
      </c>
      <c r="J34" s="30" t="s">
        <v>257</v>
      </c>
      <c r="K34" s="30" t="s">
        <v>263</v>
      </c>
      <c r="L34" s="53"/>
      <c r="M34" s="15"/>
      <c r="N34" s="15"/>
      <c r="O34" s="15"/>
      <c r="P34" s="54"/>
      <c r="Q34" s="171"/>
      <c r="R34" s="15"/>
      <c r="S34" s="15"/>
      <c r="T34" s="15"/>
      <c r="U34" s="56"/>
      <c r="V34" s="192"/>
      <c r="X34" s="150" t="s">
        <v>279</v>
      </c>
      <c r="Y34" s="153">
        <f t="shared" si="0"/>
        <v>31</v>
      </c>
      <c r="Z34" s="2">
        <f>COUNTIF(출전기록!B$2:L$39,'2024 토탈'!X34)</f>
        <v>24</v>
      </c>
      <c r="AA34" s="159">
        <f>COUNTIF(출전기록!M$2:Q$39,'2024 토탈'!X34)</f>
        <v>7</v>
      </c>
      <c r="AB34" s="180">
        <f t="shared" si="1"/>
        <v>0</v>
      </c>
      <c r="AC34" s="181">
        <f t="shared" si="2"/>
        <v>1</v>
      </c>
      <c r="AD34" s="182">
        <f t="shared" si="3"/>
        <v>1</v>
      </c>
      <c r="AE34" s="179">
        <f t="shared" si="4"/>
        <v>0</v>
      </c>
      <c r="AF34" s="26">
        <f t="shared" si="5"/>
        <v>1</v>
      </c>
      <c r="AG34" s="157">
        <f t="shared" si="6"/>
        <v>1</v>
      </c>
      <c r="AI34" s="2" t="s">
        <v>42</v>
      </c>
      <c r="AJ34" s="2" t="s">
        <v>72</v>
      </c>
      <c r="AK34" s="2">
        <f t="shared" si="18"/>
        <v>3</v>
      </c>
      <c r="AL34" s="5">
        <f t="shared" si="19"/>
        <v>0</v>
      </c>
      <c r="AM34" s="6">
        <f t="shared" si="20"/>
        <v>2</v>
      </c>
      <c r="AN34" s="7">
        <f t="shared" si="21"/>
        <v>1</v>
      </c>
      <c r="AO34" s="26">
        <f t="shared" si="22"/>
        <v>2</v>
      </c>
      <c r="AP34" s="23">
        <f t="shared" si="23"/>
        <v>0</v>
      </c>
      <c r="AQ34" s="2">
        <f t="shared" si="24"/>
        <v>3</v>
      </c>
      <c r="AR34" s="2">
        <f t="shared" si="25"/>
        <v>5</v>
      </c>
      <c r="AS34" s="2">
        <f t="shared" si="26"/>
        <v>-2</v>
      </c>
    </row>
    <row r="35" spans="1:45">
      <c r="A35" s="75" t="s">
        <v>42</v>
      </c>
      <c r="B35" s="105">
        <v>45571</v>
      </c>
      <c r="C35" s="235">
        <v>33</v>
      </c>
      <c r="D35" s="73" t="s">
        <v>71</v>
      </c>
      <c r="E35" s="30" t="s">
        <v>45</v>
      </c>
      <c r="F35" s="30">
        <v>1</v>
      </c>
      <c r="G35" s="30">
        <v>3</v>
      </c>
      <c r="H35" s="40" t="s">
        <v>33</v>
      </c>
      <c r="I35" s="30" t="s">
        <v>275</v>
      </c>
      <c r="J35" s="30" t="s">
        <v>253</v>
      </c>
      <c r="K35" s="30" t="s">
        <v>254</v>
      </c>
      <c r="L35" s="53" t="s">
        <v>111</v>
      </c>
      <c r="M35" s="15"/>
      <c r="N35" s="15"/>
      <c r="O35" s="15"/>
      <c r="P35" s="54"/>
      <c r="Q35" s="171" t="s">
        <v>105</v>
      </c>
      <c r="R35" s="15"/>
      <c r="S35" s="15"/>
      <c r="T35" s="15"/>
      <c r="U35" s="56"/>
      <c r="V35" s="192">
        <v>14434</v>
      </c>
      <c r="X35" s="150" t="s">
        <v>87</v>
      </c>
      <c r="Y35" s="153">
        <f t="shared" si="0"/>
        <v>26</v>
      </c>
      <c r="Z35" s="2">
        <f>COUNTIF(출전기록!B$2:L$39,'2024 토탈'!X35)</f>
        <v>11</v>
      </c>
      <c r="AA35" s="159">
        <f>COUNTIF(출전기록!M$2:Q$39,'2024 토탈'!X35)</f>
        <v>15</v>
      </c>
      <c r="AB35" s="180">
        <f t="shared" si="1"/>
        <v>1</v>
      </c>
      <c r="AC35" s="181">
        <f t="shared" si="2"/>
        <v>0</v>
      </c>
      <c r="AD35" s="182">
        <f t="shared" si="3"/>
        <v>1</v>
      </c>
      <c r="AE35" s="179">
        <f t="shared" si="4"/>
        <v>1</v>
      </c>
      <c r="AF35" s="26">
        <f t="shared" si="5"/>
        <v>0</v>
      </c>
      <c r="AG35" s="157">
        <f t="shared" si="6"/>
        <v>1</v>
      </c>
    </row>
    <row r="36" spans="1:45">
      <c r="A36" s="110" t="s">
        <v>42</v>
      </c>
      <c r="B36" s="106">
        <v>45584</v>
      </c>
      <c r="C36" s="24">
        <v>34</v>
      </c>
      <c r="D36" s="24" t="s">
        <v>77</v>
      </c>
      <c r="E36" s="24" t="s">
        <v>45</v>
      </c>
      <c r="F36" s="24">
        <v>1</v>
      </c>
      <c r="G36" s="24">
        <v>2</v>
      </c>
      <c r="H36" s="41" t="s">
        <v>33</v>
      </c>
      <c r="I36" s="24" t="s">
        <v>259</v>
      </c>
      <c r="J36" s="24" t="s">
        <v>251</v>
      </c>
      <c r="K36" s="24" t="s">
        <v>273</v>
      </c>
      <c r="L36" s="57" t="s">
        <v>70</v>
      </c>
      <c r="M36" s="58"/>
      <c r="N36" s="58"/>
      <c r="O36" s="58"/>
      <c r="P36" s="59"/>
      <c r="Q36" s="143"/>
      <c r="R36" s="58"/>
      <c r="S36" s="58"/>
      <c r="T36" s="58"/>
      <c r="U36" s="61"/>
      <c r="V36" s="193">
        <v>7138</v>
      </c>
      <c r="X36" s="150" t="s">
        <v>112</v>
      </c>
      <c r="Y36" s="153">
        <f t="shared" si="0"/>
        <v>15</v>
      </c>
      <c r="Z36" s="2">
        <f>COUNTIF(출전기록!B$2:L$39,'2024 토탈'!X36)</f>
        <v>11</v>
      </c>
      <c r="AA36" s="159">
        <f>COUNTIF(출전기록!M$2:Q$39,'2024 토탈'!X36)</f>
        <v>4</v>
      </c>
      <c r="AB36" s="180">
        <f t="shared" si="1"/>
        <v>0</v>
      </c>
      <c r="AC36" s="181">
        <f t="shared" si="2"/>
        <v>0</v>
      </c>
      <c r="AD36" s="182">
        <f t="shared" si="3"/>
        <v>0</v>
      </c>
      <c r="AE36" s="179">
        <f t="shared" si="4"/>
        <v>0</v>
      </c>
      <c r="AF36" s="26">
        <f t="shared" si="5"/>
        <v>0</v>
      </c>
      <c r="AG36" s="157">
        <f t="shared" si="6"/>
        <v>0</v>
      </c>
    </row>
    <row r="37" spans="1:45">
      <c r="A37" s="110" t="s">
        <v>42</v>
      </c>
      <c r="B37" s="106">
        <v>45592</v>
      </c>
      <c r="C37" s="235">
        <v>35</v>
      </c>
      <c r="D37" s="73" t="s">
        <v>48</v>
      </c>
      <c r="E37" s="24" t="s">
        <v>45</v>
      </c>
      <c r="F37" s="24">
        <v>1</v>
      </c>
      <c r="G37" s="24">
        <v>0</v>
      </c>
      <c r="H37" s="41" t="s">
        <v>31</v>
      </c>
      <c r="I37" s="24" t="s">
        <v>252</v>
      </c>
      <c r="J37" s="24" t="s">
        <v>257</v>
      </c>
      <c r="K37" s="24" t="s">
        <v>263</v>
      </c>
      <c r="L37" s="57" t="s">
        <v>46</v>
      </c>
      <c r="M37" s="58"/>
      <c r="N37" s="58"/>
      <c r="O37" s="58"/>
      <c r="P37" s="59"/>
      <c r="Q37" s="143"/>
      <c r="R37" s="58"/>
      <c r="S37" s="58"/>
      <c r="T37" s="58"/>
      <c r="U37" s="61"/>
      <c r="V37" s="193">
        <v>8257</v>
      </c>
      <c r="X37" s="150" t="s">
        <v>111</v>
      </c>
      <c r="Y37" s="153">
        <f t="shared" si="0"/>
        <v>22</v>
      </c>
      <c r="Z37" s="2">
        <f>COUNTIF(출전기록!B$2:L$39,'2024 토탈'!X37)</f>
        <v>15</v>
      </c>
      <c r="AA37" s="159">
        <f>COUNTIF(출전기록!M$2:Q$39,'2024 토탈'!X37)</f>
        <v>7</v>
      </c>
      <c r="AB37" s="180">
        <f t="shared" si="1"/>
        <v>1</v>
      </c>
      <c r="AC37" s="181">
        <f t="shared" si="2"/>
        <v>1</v>
      </c>
      <c r="AD37" s="182">
        <f t="shared" si="3"/>
        <v>2</v>
      </c>
      <c r="AE37" s="179">
        <f t="shared" si="4"/>
        <v>1</v>
      </c>
      <c r="AF37" s="26">
        <f t="shared" si="5"/>
        <v>1</v>
      </c>
      <c r="AG37" s="157">
        <f t="shared" si="6"/>
        <v>2</v>
      </c>
    </row>
    <row r="38" spans="1:45">
      <c r="A38" s="110" t="s">
        <v>42</v>
      </c>
      <c r="B38" s="106">
        <v>45598</v>
      </c>
      <c r="C38" s="235">
        <v>36</v>
      </c>
      <c r="D38" s="73" t="s">
        <v>67</v>
      </c>
      <c r="E38" s="24" t="s">
        <v>49</v>
      </c>
      <c r="F38" s="24">
        <v>0</v>
      </c>
      <c r="G38" s="24">
        <v>0</v>
      </c>
      <c r="H38" s="41" t="s">
        <v>32</v>
      </c>
      <c r="I38" s="24" t="s">
        <v>247</v>
      </c>
      <c r="J38" s="24" t="s">
        <v>255</v>
      </c>
      <c r="K38" s="24" t="s">
        <v>249</v>
      </c>
      <c r="L38" s="62"/>
      <c r="M38" s="58"/>
      <c r="N38" s="58"/>
      <c r="O38" s="58"/>
      <c r="P38" s="59"/>
      <c r="Q38" s="143"/>
      <c r="R38" s="58"/>
      <c r="S38" s="58"/>
      <c r="T38" s="58"/>
      <c r="U38" s="61"/>
      <c r="V38" s="193"/>
      <c r="X38" s="150" t="s">
        <v>80</v>
      </c>
      <c r="Y38" s="153">
        <f t="shared" si="0"/>
        <v>0</v>
      </c>
      <c r="Z38" s="2">
        <f>COUNTIF(출전기록!B$2:L$39,'2024 토탈'!X38)</f>
        <v>0</v>
      </c>
      <c r="AA38" s="159">
        <f>COUNTIF(출전기록!M$2:Q$39,'2024 토탈'!X38)</f>
        <v>0</v>
      </c>
      <c r="AB38" s="180">
        <f t="shared" si="1"/>
        <v>0</v>
      </c>
      <c r="AC38" s="181">
        <f t="shared" si="2"/>
        <v>0</v>
      </c>
      <c r="AD38" s="182">
        <f t="shared" si="3"/>
        <v>0</v>
      </c>
      <c r="AE38" s="179">
        <f t="shared" si="4"/>
        <v>0</v>
      </c>
      <c r="AF38" s="26">
        <f t="shared" si="5"/>
        <v>0</v>
      </c>
      <c r="AG38" s="157">
        <f t="shared" si="6"/>
        <v>0</v>
      </c>
    </row>
    <row r="39" spans="1:45">
      <c r="A39" s="110" t="s">
        <v>42</v>
      </c>
      <c r="B39" s="106">
        <v>45606</v>
      </c>
      <c r="C39" s="24">
        <v>37</v>
      </c>
      <c r="D39" s="24" t="s">
        <v>61</v>
      </c>
      <c r="E39" s="24" t="s">
        <v>45</v>
      </c>
      <c r="F39" s="24">
        <v>1</v>
      </c>
      <c r="G39" s="24">
        <v>2</v>
      </c>
      <c r="H39" s="41" t="s">
        <v>33</v>
      </c>
      <c r="I39" s="24"/>
      <c r="J39" s="24"/>
      <c r="K39" s="24"/>
      <c r="L39" s="57" t="s">
        <v>70</v>
      </c>
      <c r="M39" s="58"/>
      <c r="N39" s="58"/>
      <c r="O39" s="58"/>
      <c r="P39" s="59"/>
      <c r="Q39" s="143" t="s">
        <v>73</v>
      </c>
      <c r="R39" s="58"/>
      <c r="S39" s="58"/>
      <c r="T39" s="58"/>
      <c r="U39" s="61"/>
      <c r="V39" s="195">
        <v>14633</v>
      </c>
      <c r="X39" s="150" t="s">
        <v>178</v>
      </c>
      <c r="Y39" s="153">
        <f t="shared" si="0"/>
        <v>0</v>
      </c>
      <c r="Z39" s="2">
        <f>COUNTIF(출전기록!B$2:L$39,'2024 토탈'!X39)</f>
        <v>0</v>
      </c>
      <c r="AA39" s="159">
        <f>COUNTIF(출전기록!M$2:Q$39,'2024 토탈'!X39)</f>
        <v>0</v>
      </c>
      <c r="AB39" s="180">
        <f t="shared" si="1"/>
        <v>0</v>
      </c>
      <c r="AC39" s="181">
        <f t="shared" si="2"/>
        <v>0</v>
      </c>
      <c r="AD39" s="182">
        <f t="shared" si="3"/>
        <v>0</v>
      </c>
      <c r="AE39" s="179">
        <f t="shared" si="4"/>
        <v>0</v>
      </c>
      <c r="AF39" s="26">
        <f t="shared" si="5"/>
        <v>0</v>
      </c>
      <c r="AG39" s="157">
        <f t="shared" si="6"/>
        <v>0</v>
      </c>
    </row>
    <row r="40" spans="1:45" ht="17.5" customHeight="1" thickBot="1">
      <c r="A40" s="236" t="s">
        <v>42</v>
      </c>
      <c r="B40" s="237">
        <v>45620</v>
      </c>
      <c r="C40" s="238">
        <v>38</v>
      </c>
      <c r="D40" s="238" t="s">
        <v>265</v>
      </c>
      <c r="E40" s="238" t="s">
        <v>49</v>
      </c>
      <c r="F40" s="238">
        <v>3</v>
      </c>
      <c r="G40" s="238">
        <v>1</v>
      </c>
      <c r="H40" s="239" t="s">
        <v>31</v>
      </c>
      <c r="I40" s="238"/>
      <c r="J40" s="238"/>
      <c r="K40" s="238"/>
      <c r="L40" s="226" t="s">
        <v>70</v>
      </c>
      <c r="M40" s="227" t="s">
        <v>70</v>
      </c>
      <c r="N40" s="227" t="s">
        <v>264</v>
      </c>
      <c r="O40" s="227"/>
      <c r="P40" s="228"/>
      <c r="Q40" s="240" t="s">
        <v>54</v>
      </c>
      <c r="R40" s="227" t="s">
        <v>143</v>
      </c>
      <c r="S40" s="227" t="s">
        <v>93</v>
      </c>
      <c r="T40" s="227"/>
      <c r="U40" s="241"/>
      <c r="V40" s="242"/>
      <c r="X40" s="151" t="s">
        <v>179</v>
      </c>
      <c r="Y40" s="153">
        <f t="shared" si="0"/>
        <v>11</v>
      </c>
      <c r="Z40" s="2">
        <f>COUNTIF(출전기록!B$2:L$39,'2024 토탈'!X40)</f>
        <v>10</v>
      </c>
      <c r="AA40" s="159">
        <f>COUNTIF(출전기록!M$2:Q$39,'2024 토탈'!X40)</f>
        <v>1</v>
      </c>
      <c r="AB40" s="180">
        <f t="shared" si="1"/>
        <v>0</v>
      </c>
      <c r="AC40" s="181">
        <f t="shared" si="2"/>
        <v>0</v>
      </c>
      <c r="AD40" s="182">
        <f t="shared" si="3"/>
        <v>0</v>
      </c>
      <c r="AE40" s="179">
        <f t="shared" si="4"/>
        <v>0</v>
      </c>
      <c r="AF40" s="26">
        <f t="shared" si="5"/>
        <v>0</v>
      </c>
      <c r="AG40" s="157">
        <f t="shared" si="6"/>
        <v>0</v>
      </c>
    </row>
    <row r="41" spans="1:45" ht="17.5" customHeight="1" thickBot="1">
      <c r="A41" s="98" t="s">
        <v>115</v>
      </c>
      <c r="B41" s="128">
        <v>45399</v>
      </c>
      <c r="C41" s="103" t="s">
        <v>117</v>
      </c>
      <c r="D41" s="103" t="s">
        <v>282</v>
      </c>
      <c r="E41" s="103" t="s">
        <v>45</v>
      </c>
      <c r="F41" s="103">
        <v>1</v>
      </c>
      <c r="G41" s="103">
        <v>0</v>
      </c>
      <c r="H41" s="168" t="s">
        <v>31</v>
      </c>
      <c r="I41" s="103" t="s">
        <v>283</v>
      </c>
      <c r="J41" s="103"/>
      <c r="K41" s="103"/>
      <c r="L41" s="174" t="s">
        <v>271</v>
      </c>
      <c r="M41" s="129"/>
      <c r="N41" s="129"/>
      <c r="O41" s="129"/>
      <c r="P41" s="175"/>
      <c r="Q41" s="172" t="s">
        <v>70</v>
      </c>
      <c r="R41" s="129"/>
      <c r="S41" s="129"/>
      <c r="T41" s="129"/>
      <c r="U41" s="188"/>
      <c r="V41" s="196">
        <v>1730</v>
      </c>
      <c r="X41" s="151" t="s">
        <v>180</v>
      </c>
      <c r="Y41" s="153">
        <f t="shared" si="0"/>
        <v>25</v>
      </c>
      <c r="Z41" s="2">
        <f>COUNTIF(출전기록!B$2:L$39,'2024 토탈'!X41)</f>
        <v>25</v>
      </c>
      <c r="AA41" s="159">
        <f>COUNTIF(출전기록!M$2:Q$39,'2024 토탈'!X41)</f>
        <v>0</v>
      </c>
      <c r="AB41" s="180">
        <f t="shared" si="1"/>
        <v>0</v>
      </c>
      <c r="AC41" s="181">
        <f t="shared" si="2"/>
        <v>0</v>
      </c>
      <c r="AD41" s="182">
        <f t="shared" si="3"/>
        <v>0</v>
      </c>
      <c r="AE41" s="179">
        <f t="shared" si="4"/>
        <v>0</v>
      </c>
      <c r="AF41" s="26">
        <f t="shared" si="5"/>
        <v>0</v>
      </c>
      <c r="AG41" s="157">
        <f t="shared" si="6"/>
        <v>0</v>
      </c>
    </row>
    <row r="42" spans="1:45">
      <c r="A42" s="98" t="s">
        <v>115</v>
      </c>
      <c r="B42" s="128">
        <v>45462</v>
      </c>
      <c r="C42" s="103" t="s">
        <v>128</v>
      </c>
      <c r="D42" s="103" t="s">
        <v>72</v>
      </c>
      <c r="E42" s="103" t="s">
        <v>45</v>
      </c>
      <c r="F42" s="103">
        <v>0</v>
      </c>
      <c r="G42" s="103">
        <v>0</v>
      </c>
      <c r="H42" s="168" t="s">
        <v>31</v>
      </c>
      <c r="I42" s="103" t="s">
        <v>283</v>
      </c>
      <c r="J42" s="103"/>
      <c r="K42" s="103"/>
      <c r="L42" s="174"/>
      <c r="M42" s="129"/>
      <c r="N42" s="129"/>
      <c r="O42" s="129"/>
      <c r="P42" s="175"/>
      <c r="Q42" s="172"/>
      <c r="R42" s="129"/>
      <c r="S42" s="129"/>
      <c r="T42" s="129"/>
      <c r="U42" s="188"/>
      <c r="V42" s="196">
        <v>2691</v>
      </c>
      <c r="X42" s="151" t="s">
        <v>284</v>
      </c>
      <c r="Y42" s="153">
        <f t="shared" si="0"/>
        <v>0</v>
      </c>
      <c r="Z42" s="2">
        <f>COUNTIF(출전기록!B$2:L$39,'2024 토탈'!X42)</f>
        <v>0</v>
      </c>
      <c r="AA42" s="159">
        <f>COUNTIF(출전기록!M$2:Q$39,'2024 토탈'!X42)</f>
        <v>0</v>
      </c>
      <c r="AB42" s="180">
        <f t="shared" si="1"/>
        <v>0</v>
      </c>
      <c r="AC42" s="181">
        <f t="shared" si="2"/>
        <v>0</v>
      </c>
      <c r="AD42" s="182">
        <f t="shared" si="3"/>
        <v>0</v>
      </c>
      <c r="AE42" s="179">
        <f t="shared" si="4"/>
        <v>0</v>
      </c>
      <c r="AF42" s="26">
        <f t="shared" si="5"/>
        <v>0</v>
      </c>
      <c r="AG42" s="157">
        <f t="shared" si="6"/>
        <v>0</v>
      </c>
    </row>
    <row r="43" spans="1:45" ht="17.5" customHeight="1" thickBot="1">
      <c r="A43" s="110" t="s">
        <v>115</v>
      </c>
      <c r="B43" s="198">
        <v>45490</v>
      </c>
      <c r="C43" s="199" t="s">
        <v>129</v>
      </c>
      <c r="D43" s="199" t="s">
        <v>55</v>
      </c>
      <c r="E43" s="199" t="s">
        <v>49</v>
      </c>
      <c r="F43" s="199">
        <v>0</v>
      </c>
      <c r="G43" s="199">
        <v>1</v>
      </c>
      <c r="H43" s="200" t="s">
        <v>33</v>
      </c>
      <c r="I43" s="199" t="s">
        <v>283</v>
      </c>
      <c r="J43" s="199"/>
      <c r="K43" s="199"/>
      <c r="L43" s="201"/>
      <c r="M43" s="202"/>
      <c r="N43" s="91"/>
      <c r="O43" s="91"/>
      <c r="P43" s="203"/>
      <c r="Q43" s="204"/>
      <c r="R43" s="202"/>
      <c r="S43" s="202"/>
      <c r="T43" s="202"/>
      <c r="U43" s="205"/>
      <c r="V43" s="206"/>
      <c r="X43" s="152" t="s">
        <v>285</v>
      </c>
      <c r="Y43" s="154">
        <f t="shared" si="0"/>
        <v>0</v>
      </c>
      <c r="Z43" s="146">
        <f>COUNTIF(출전기록!B$2:L$39,'2024 토탈'!X43)</f>
        <v>0</v>
      </c>
      <c r="AA43" s="177">
        <f>COUNTIF(출전기록!M$2:Q$39,'2024 토탈'!X43)</f>
        <v>0</v>
      </c>
      <c r="AB43" s="183">
        <f t="shared" si="1"/>
        <v>0</v>
      </c>
      <c r="AC43" s="184">
        <f t="shared" si="2"/>
        <v>0</v>
      </c>
      <c r="AD43" s="185">
        <f t="shared" si="3"/>
        <v>0</v>
      </c>
      <c r="AE43" s="179">
        <f t="shared" si="4"/>
        <v>0</v>
      </c>
      <c r="AF43" s="26">
        <f t="shared" si="5"/>
        <v>0</v>
      </c>
      <c r="AG43" s="158">
        <f t="shared" si="6"/>
        <v>0</v>
      </c>
    </row>
    <row r="44" spans="1:45">
      <c r="A44" s="110" t="s">
        <v>115</v>
      </c>
      <c r="B44" s="198">
        <v>45525</v>
      </c>
      <c r="C44" s="199" t="s">
        <v>130</v>
      </c>
      <c r="D44" s="199"/>
      <c r="E44" s="199"/>
      <c r="F44" s="199"/>
      <c r="G44" s="199"/>
      <c r="H44" s="200"/>
      <c r="I44" s="199"/>
      <c r="J44" s="199"/>
      <c r="K44" s="199"/>
      <c r="L44" s="201"/>
      <c r="M44" s="202"/>
      <c r="N44" s="91"/>
      <c r="O44" s="91"/>
      <c r="P44" s="203"/>
      <c r="Q44" s="204"/>
      <c r="R44" s="202"/>
      <c r="S44" s="202"/>
      <c r="T44" s="202"/>
      <c r="U44" s="205"/>
      <c r="V44" s="206"/>
    </row>
    <row r="45" spans="1:45">
      <c r="A45" s="110" t="s">
        <v>115</v>
      </c>
      <c r="B45" s="198">
        <v>45532</v>
      </c>
      <c r="C45" s="199" t="s">
        <v>130</v>
      </c>
      <c r="D45" s="199"/>
      <c r="E45" s="199"/>
      <c r="F45" s="199"/>
      <c r="G45" s="199"/>
      <c r="H45" s="200"/>
      <c r="I45" s="199"/>
      <c r="J45" s="199"/>
      <c r="K45" s="199"/>
      <c r="L45" s="201"/>
      <c r="M45" s="202"/>
      <c r="N45" s="91"/>
      <c r="O45" s="91"/>
      <c r="P45" s="203"/>
      <c r="Q45" s="204"/>
      <c r="R45" s="202"/>
      <c r="S45" s="202"/>
      <c r="T45" s="202"/>
      <c r="U45" s="205"/>
      <c r="V45" s="206"/>
    </row>
    <row r="46" spans="1:45" ht="17.5" customHeight="1" thickBot="1">
      <c r="A46" s="100" t="s">
        <v>115</v>
      </c>
      <c r="B46" s="112">
        <v>45626</v>
      </c>
      <c r="C46" s="104" t="s">
        <v>131</v>
      </c>
      <c r="D46" s="104"/>
      <c r="E46" s="104"/>
      <c r="F46" s="104"/>
      <c r="G46" s="104"/>
      <c r="H46" s="169"/>
      <c r="I46" s="104"/>
      <c r="J46" s="104"/>
      <c r="K46" s="104"/>
      <c r="L46" s="176"/>
      <c r="M46" s="113"/>
      <c r="N46" s="113"/>
      <c r="O46" s="113"/>
      <c r="P46" s="114"/>
      <c r="Q46" s="173"/>
      <c r="R46" s="113"/>
      <c r="S46" s="113"/>
      <c r="T46" s="113"/>
      <c r="U46" s="189"/>
      <c r="V46" s="197"/>
    </row>
    <row r="47" spans="1:45">
      <c r="M47" t="s">
        <v>190</v>
      </c>
      <c r="N47" s="213"/>
      <c r="P47" t="s">
        <v>286</v>
      </c>
    </row>
    <row r="48" spans="1:45">
      <c r="L48" s="6" t="s">
        <v>2</v>
      </c>
      <c r="M48" s="6" t="s">
        <v>122</v>
      </c>
      <c r="N48" s="6" t="s">
        <v>123</v>
      </c>
      <c r="O48" s="6" t="s">
        <v>287</v>
      </c>
      <c r="P48" s="58" t="s">
        <v>122</v>
      </c>
      <c r="Q48" s="58" t="s">
        <v>123</v>
      </c>
      <c r="R48" s="58" t="s">
        <v>287</v>
      </c>
      <c r="S48" s="6" t="s">
        <v>288</v>
      </c>
    </row>
    <row r="49" spans="12:19">
      <c r="L49" s="2" t="s">
        <v>42</v>
      </c>
      <c r="M49" s="2">
        <f>COUNT(V3:V40)</f>
        <v>19</v>
      </c>
      <c r="N49" s="96">
        <f>SUMIFS(V3:V46,A3:A46,L49)</f>
        <v>208045</v>
      </c>
      <c r="O49" s="96">
        <f>N49/M49</f>
        <v>10949.736842105263</v>
      </c>
      <c r="P49" s="136">
        <v>19</v>
      </c>
      <c r="Q49" s="136">
        <v>169826</v>
      </c>
      <c r="R49" s="137">
        <f>Q49/19</f>
        <v>8938.21052631579</v>
      </c>
      <c r="S49" s="165">
        <f>(O49-R49)/R49</f>
        <v>0.22504799029594991</v>
      </c>
    </row>
    <row r="50" spans="12:19">
      <c r="L50" s="2" t="s">
        <v>115</v>
      </c>
      <c r="M50" s="2">
        <f>COUNT(V41:V45)</f>
        <v>2</v>
      </c>
      <c r="N50" s="96">
        <f>SUMIFS(V3:V46,A3:A46,L50)</f>
        <v>4421</v>
      </c>
      <c r="O50" s="96">
        <f>N50/M50</f>
        <v>2210.5</v>
      </c>
      <c r="P50" s="136">
        <v>2</v>
      </c>
      <c r="Q50" s="136">
        <v>5581</v>
      </c>
      <c r="R50" s="137">
        <f>Q50/2</f>
        <v>2790.5</v>
      </c>
      <c r="S50" s="165">
        <f>(O50-R50)/R50</f>
        <v>-0.20784805590395986</v>
      </c>
    </row>
    <row r="51" spans="12:19">
      <c r="L51" s="4" t="s">
        <v>60</v>
      </c>
      <c r="M51" s="4">
        <f>SUM(M49:M50)</f>
        <v>21</v>
      </c>
      <c r="N51" s="138">
        <f>SUM(N49:N50)</f>
        <v>212466</v>
      </c>
      <c r="O51" s="139">
        <f>N51/M51</f>
        <v>10117.428571428571</v>
      </c>
    </row>
  </sheetData>
  <phoneticPr fontId="3" type="noConversion"/>
  <conditionalFormatting sqref="V3:V40">
    <cfRule type="dataBar" priority="3">
      <dataBar>
        <cfvo type="min"/>
        <cfvo type="max"/>
        <color rgb="FF008AEF"/>
      </dataBar>
    </cfRule>
  </conditionalFormatting>
  <conditionalFormatting sqref="V41:V45">
    <cfRule type="top10" dxfId="65" priority="37" percent="1" bottom="1" rank="10"/>
    <cfRule type="dataBar" priority="38">
      <dataBar>
        <cfvo type="min"/>
        <cfvo type="max"/>
        <color rgb="FF638EC6"/>
      </dataBar>
    </cfRule>
  </conditionalFormatting>
  <conditionalFormatting sqref="AP24:AP34">
    <cfRule type="cellIs" dxfId="64" priority="21" operator="greaterThan">
      <formula>0.5</formula>
    </cfRule>
  </conditionalFormatting>
  <conditionalFormatting sqref="BC3:BC7">
    <cfRule type="top10" dxfId="63" priority="33" percent="1" rank="5"/>
  </conditionalFormatting>
  <conditionalFormatting sqref="BC3:BC9">
    <cfRule type="top10" dxfId="62" priority="1" percent="1" rank="1"/>
    <cfRule type="top10" priority="2" percent="1" rank="1"/>
  </conditionalFormatting>
  <conditionalFormatting sqref="BC8:BC11">
    <cfRule type="top10" dxfId="61" priority="36" percent="1" rank="5"/>
  </conditionalFormatting>
  <conditionalFormatting sqref="BC13:BC23">
    <cfRule type="top10" dxfId="60" priority="18" percent="1" rank="10"/>
    <cfRule type="top10" dxfId="59" priority="19" percent="1" rank="5"/>
  </conditionalFormatting>
  <conditionalFormatting sqref="BE3:BE7">
    <cfRule type="aboveAverage" dxfId="58" priority="31"/>
    <cfRule type="top10" dxfId="57" priority="32" percent="1" rank="10"/>
  </conditionalFormatting>
  <conditionalFormatting sqref="BE8:BE11">
    <cfRule type="aboveAverage" dxfId="56" priority="34"/>
    <cfRule type="top10" dxfId="55" priority="35" percent="1" rank="10"/>
  </conditionalFormatting>
  <conditionalFormatting sqref="BE13:BE23">
    <cfRule type="aboveAverage" dxfId="54" priority="23"/>
    <cfRule type="top10" dxfId="53" priority="24" percent="1" rank="10"/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9"/>
  <sheetViews>
    <sheetView topLeftCell="A16" workbookViewId="0">
      <selection activeCell="Q36" sqref="Q36"/>
    </sheetView>
  </sheetViews>
  <sheetFormatPr defaultRowHeight="17"/>
  <sheetData>
    <row r="1" spans="1:35">
      <c r="A1" s="161" t="s">
        <v>0</v>
      </c>
      <c r="B1" s="162" t="s">
        <v>26</v>
      </c>
      <c r="C1" s="163" t="s">
        <v>26</v>
      </c>
      <c r="D1" s="163" t="s">
        <v>26</v>
      </c>
      <c r="E1" s="163" t="s">
        <v>26</v>
      </c>
      <c r="F1" s="163" t="s">
        <v>26</v>
      </c>
      <c r="G1" s="163" t="s">
        <v>26</v>
      </c>
      <c r="H1" s="163" t="s">
        <v>26</v>
      </c>
      <c r="I1" s="163" t="s">
        <v>26</v>
      </c>
      <c r="J1" s="163" t="s">
        <v>26</v>
      </c>
      <c r="K1" s="163" t="s">
        <v>26</v>
      </c>
      <c r="L1" s="164" t="s">
        <v>26</v>
      </c>
      <c r="M1" s="162" t="s">
        <v>27</v>
      </c>
      <c r="N1" s="163" t="s">
        <v>27</v>
      </c>
      <c r="O1" s="163" t="s">
        <v>27</v>
      </c>
      <c r="P1" s="163" t="s">
        <v>27</v>
      </c>
      <c r="Q1" s="164" t="s">
        <v>27</v>
      </c>
      <c r="S1" s="161" t="s">
        <v>115</v>
      </c>
      <c r="T1" s="162" t="s">
        <v>26</v>
      </c>
      <c r="U1" s="163" t="s">
        <v>26</v>
      </c>
      <c r="V1" s="163" t="s">
        <v>26</v>
      </c>
      <c r="W1" s="163" t="s">
        <v>26</v>
      </c>
      <c r="X1" s="163" t="s">
        <v>26</v>
      </c>
      <c r="Y1" s="163" t="s">
        <v>26</v>
      </c>
      <c r="Z1" s="163" t="s">
        <v>26</v>
      </c>
      <c r="AA1" s="163" t="s">
        <v>26</v>
      </c>
      <c r="AB1" s="163" t="s">
        <v>26</v>
      </c>
      <c r="AC1" s="163" t="s">
        <v>26</v>
      </c>
      <c r="AD1" s="164" t="s">
        <v>26</v>
      </c>
      <c r="AE1" s="162" t="s">
        <v>27</v>
      </c>
      <c r="AF1" s="163" t="s">
        <v>27</v>
      </c>
      <c r="AG1" s="163" t="s">
        <v>27</v>
      </c>
      <c r="AH1" s="163" t="s">
        <v>27</v>
      </c>
      <c r="AI1" s="164" t="s">
        <v>27</v>
      </c>
    </row>
    <row r="2" spans="1:35">
      <c r="A2" s="159" t="s">
        <v>191</v>
      </c>
      <c r="B2" s="153" t="s">
        <v>180</v>
      </c>
      <c r="C2" s="5" t="s">
        <v>278</v>
      </c>
      <c r="D2" s="5" t="s">
        <v>280</v>
      </c>
      <c r="E2" s="5" t="s">
        <v>189</v>
      </c>
      <c r="F2" s="5" t="s">
        <v>268</v>
      </c>
      <c r="G2" s="5" t="s">
        <v>111</v>
      </c>
      <c r="H2" s="5" t="s">
        <v>73</v>
      </c>
      <c r="I2" s="5" t="s">
        <v>272</v>
      </c>
      <c r="J2" s="5" t="s">
        <v>54</v>
      </c>
      <c r="K2" s="5" t="s">
        <v>46</v>
      </c>
      <c r="L2" s="155" t="s">
        <v>70</v>
      </c>
      <c r="M2" s="110" t="s">
        <v>271</v>
      </c>
      <c r="N2" s="2" t="s">
        <v>279</v>
      </c>
      <c r="O2" s="2" t="s">
        <v>87</v>
      </c>
      <c r="P2" s="2" t="s">
        <v>93</v>
      </c>
      <c r="Q2" s="51" t="s">
        <v>264</v>
      </c>
      <c r="S2" s="159" t="s">
        <v>117</v>
      </c>
      <c r="T2" s="153" t="s">
        <v>179</v>
      </c>
      <c r="U2" s="5" t="s">
        <v>177</v>
      </c>
      <c r="V2" s="5" t="s">
        <v>280</v>
      </c>
      <c r="W2" s="5" t="s">
        <v>105</v>
      </c>
      <c r="X2" s="5" t="s">
        <v>281</v>
      </c>
      <c r="Y2" s="5" t="s">
        <v>112</v>
      </c>
      <c r="Z2" s="5" t="s">
        <v>170</v>
      </c>
      <c r="AA2" s="5" t="s">
        <v>93</v>
      </c>
      <c r="AB2" s="5" t="s">
        <v>264</v>
      </c>
      <c r="AC2" s="5" t="s">
        <v>271</v>
      </c>
      <c r="AD2" s="155" t="s">
        <v>261</v>
      </c>
      <c r="AE2" s="110" t="s">
        <v>70</v>
      </c>
      <c r="AF2" s="2" t="s">
        <v>54</v>
      </c>
      <c r="AG2" s="2" t="s">
        <v>182</v>
      </c>
      <c r="AH2" s="2" t="s">
        <v>272</v>
      </c>
      <c r="AI2" s="51" t="s">
        <v>97</v>
      </c>
    </row>
    <row r="3" spans="1:35">
      <c r="A3" s="159" t="s">
        <v>184</v>
      </c>
      <c r="B3" s="153" t="s">
        <v>180</v>
      </c>
      <c r="C3" s="5" t="s">
        <v>278</v>
      </c>
      <c r="D3" s="5" t="s">
        <v>277</v>
      </c>
      <c r="E3" s="5" t="s">
        <v>105</v>
      </c>
      <c r="F3" s="5" t="s">
        <v>279</v>
      </c>
      <c r="G3" s="5" t="s">
        <v>111</v>
      </c>
      <c r="H3" s="5" t="s">
        <v>73</v>
      </c>
      <c r="I3" s="5" t="s">
        <v>272</v>
      </c>
      <c r="J3" s="5" t="s">
        <v>54</v>
      </c>
      <c r="K3" s="5" t="s">
        <v>46</v>
      </c>
      <c r="L3" s="155" t="s">
        <v>87</v>
      </c>
      <c r="M3" s="110" t="s">
        <v>70</v>
      </c>
      <c r="N3" s="2" t="s">
        <v>271</v>
      </c>
      <c r="O3" s="2"/>
      <c r="P3" s="2"/>
      <c r="Q3" s="51"/>
      <c r="S3" s="159" t="s">
        <v>128</v>
      </c>
      <c r="T3" s="153"/>
      <c r="U3" s="5"/>
      <c r="V3" s="5"/>
      <c r="W3" s="5"/>
      <c r="X3" s="5"/>
      <c r="Y3" s="5"/>
      <c r="Z3" s="5"/>
      <c r="AA3" s="5"/>
      <c r="AB3" s="5"/>
      <c r="AC3" s="5"/>
      <c r="AD3" s="155"/>
      <c r="AE3" s="110"/>
      <c r="AF3" s="2"/>
      <c r="AG3" s="2"/>
      <c r="AH3" s="2"/>
      <c r="AI3" s="51"/>
    </row>
    <row r="4" spans="1:35">
      <c r="A4" s="159" t="s">
        <v>117</v>
      </c>
      <c r="B4" s="153" t="s">
        <v>180</v>
      </c>
      <c r="C4" s="5" t="s">
        <v>278</v>
      </c>
      <c r="D4" s="5" t="s">
        <v>277</v>
      </c>
      <c r="E4" s="5" t="s">
        <v>105</v>
      </c>
      <c r="F4" s="5" t="s">
        <v>279</v>
      </c>
      <c r="G4" s="5" t="s">
        <v>111</v>
      </c>
      <c r="H4" s="5" t="s">
        <v>73</v>
      </c>
      <c r="I4" s="5" t="s">
        <v>172</v>
      </c>
      <c r="J4" s="5" t="s">
        <v>54</v>
      </c>
      <c r="K4" s="5" t="s">
        <v>46</v>
      </c>
      <c r="L4" s="155" t="s">
        <v>70</v>
      </c>
      <c r="M4" s="110" t="s">
        <v>87</v>
      </c>
      <c r="N4" s="2"/>
      <c r="O4" s="2"/>
      <c r="P4" s="2"/>
      <c r="Q4" s="51"/>
      <c r="S4" s="159" t="s">
        <v>129</v>
      </c>
      <c r="T4" s="153"/>
      <c r="U4" s="5"/>
      <c r="V4" s="5"/>
      <c r="W4" s="5"/>
      <c r="X4" s="5"/>
      <c r="Y4" s="5"/>
      <c r="Z4" s="5"/>
      <c r="AA4" s="5"/>
      <c r="AB4" s="5"/>
      <c r="AC4" s="5"/>
      <c r="AD4" s="155"/>
      <c r="AE4" s="110"/>
      <c r="AF4" s="2"/>
      <c r="AG4" s="2"/>
      <c r="AH4" s="2"/>
      <c r="AI4" s="51"/>
    </row>
    <row r="5" spans="1:35">
      <c r="A5" s="159" t="s">
        <v>192</v>
      </c>
      <c r="B5" s="153" t="s">
        <v>180</v>
      </c>
      <c r="C5" s="5" t="s">
        <v>278</v>
      </c>
      <c r="D5" s="5" t="s">
        <v>277</v>
      </c>
      <c r="E5" s="5" t="s">
        <v>105</v>
      </c>
      <c r="F5" s="5" t="s">
        <v>279</v>
      </c>
      <c r="G5" s="5" t="s">
        <v>268</v>
      </c>
      <c r="H5" s="5" t="s">
        <v>73</v>
      </c>
      <c r="I5" s="5" t="s">
        <v>272</v>
      </c>
      <c r="J5" s="5" t="s">
        <v>54</v>
      </c>
      <c r="K5" s="5" t="s">
        <v>271</v>
      </c>
      <c r="L5" s="155" t="s">
        <v>70</v>
      </c>
      <c r="M5" s="110" t="s">
        <v>111</v>
      </c>
      <c r="N5" s="2" t="s">
        <v>170</v>
      </c>
      <c r="O5" s="2" t="s">
        <v>97</v>
      </c>
      <c r="P5" s="2" t="s">
        <v>87</v>
      </c>
      <c r="Q5" s="51" t="s">
        <v>46</v>
      </c>
      <c r="S5" s="159" t="s">
        <v>130</v>
      </c>
      <c r="T5" s="153"/>
      <c r="U5" s="5"/>
      <c r="V5" s="5"/>
      <c r="W5" s="5"/>
      <c r="X5" s="5"/>
      <c r="Y5" s="5"/>
      <c r="Z5" s="5"/>
      <c r="AA5" s="5"/>
      <c r="AB5" s="5"/>
      <c r="AC5" s="5"/>
      <c r="AD5" s="155"/>
      <c r="AE5" s="110"/>
      <c r="AF5" s="2"/>
      <c r="AG5" s="2"/>
      <c r="AH5" s="2"/>
      <c r="AI5" s="51"/>
    </row>
    <row r="6" spans="1:35">
      <c r="A6" s="159" t="s">
        <v>193</v>
      </c>
      <c r="B6" s="153" t="s">
        <v>180</v>
      </c>
      <c r="C6" s="5" t="s">
        <v>97</v>
      </c>
      <c r="D6" s="5" t="s">
        <v>277</v>
      </c>
      <c r="E6" s="5" t="s">
        <v>189</v>
      </c>
      <c r="F6" s="5" t="s">
        <v>279</v>
      </c>
      <c r="G6" s="5" t="s">
        <v>111</v>
      </c>
      <c r="H6" s="5" t="s">
        <v>73</v>
      </c>
      <c r="I6" s="5" t="s">
        <v>272</v>
      </c>
      <c r="J6" s="5" t="s">
        <v>54</v>
      </c>
      <c r="K6" s="5" t="s">
        <v>46</v>
      </c>
      <c r="L6" s="155" t="s">
        <v>87</v>
      </c>
      <c r="M6" s="110" t="s">
        <v>70</v>
      </c>
      <c r="N6" s="2" t="s">
        <v>170</v>
      </c>
      <c r="O6" s="2" t="s">
        <v>93</v>
      </c>
      <c r="P6" s="2" t="s">
        <v>271</v>
      </c>
      <c r="Q6" s="51" t="s">
        <v>112</v>
      </c>
      <c r="S6" s="159" t="s">
        <v>130</v>
      </c>
      <c r="T6" s="153"/>
      <c r="U6" s="5"/>
      <c r="V6" s="5"/>
      <c r="W6" s="5"/>
      <c r="X6" s="5"/>
      <c r="Y6" s="5"/>
      <c r="Z6" s="5"/>
      <c r="AA6" s="5"/>
      <c r="AB6" s="5"/>
      <c r="AC6" s="5"/>
      <c r="AD6" s="155"/>
      <c r="AE6" s="110"/>
      <c r="AF6" s="2"/>
      <c r="AG6" s="2"/>
      <c r="AH6" s="2"/>
      <c r="AI6" s="51"/>
    </row>
    <row r="7" spans="1:35">
      <c r="A7" s="159" t="s">
        <v>194</v>
      </c>
      <c r="B7" s="153" t="s">
        <v>180</v>
      </c>
      <c r="C7" s="5" t="s">
        <v>97</v>
      </c>
      <c r="D7" s="5" t="s">
        <v>277</v>
      </c>
      <c r="E7" s="5" t="s">
        <v>105</v>
      </c>
      <c r="F7" s="5" t="s">
        <v>268</v>
      </c>
      <c r="G7" s="5" t="s">
        <v>112</v>
      </c>
      <c r="H7" s="5" t="s">
        <v>73</v>
      </c>
      <c r="I7" s="5" t="s">
        <v>170</v>
      </c>
      <c r="J7" s="5" t="s">
        <v>54</v>
      </c>
      <c r="K7" s="5" t="s">
        <v>46</v>
      </c>
      <c r="L7" s="155" t="s">
        <v>70</v>
      </c>
      <c r="M7" s="110" t="s">
        <v>93</v>
      </c>
      <c r="N7" s="2" t="s">
        <v>87</v>
      </c>
      <c r="O7" s="2" t="s">
        <v>92</v>
      </c>
      <c r="P7" s="2" t="s">
        <v>272</v>
      </c>
      <c r="Q7" s="51" t="s">
        <v>271</v>
      </c>
      <c r="S7" s="159" t="s">
        <v>131</v>
      </c>
      <c r="T7" s="153"/>
      <c r="U7" s="5"/>
      <c r="V7" s="5"/>
      <c r="W7" s="5"/>
      <c r="X7" s="5"/>
      <c r="Y7" s="5"/>
      <c r="Z7" s="5"/>
      <c r="AA7" s="5"/>
      <c r="AB7" s="5"/>
      <c r="AC7" s="5"/>
      <c r="AD7" s="155"/>
      <c r="AE7" s="110"/>
      <c r="AF7" s="2"/>
      <c r="AG7" s="2"/>
      <c r="AH7" s="2"/>
      <c r="AI7" s="51"/>
    </row>
    <row r="8" spans="1:35">
      <c r="A8" s="159" t="s">
        <v>195</v>
      </c>
      <c r="B8" s="153" t="s">
        <v>179</v>
      </c>
      <c r="C8" s="5" t="s">
        <v>278</v>
      </c>
      <c r="D8" s="5" t="s">
        <v>277</v>
      </c>
      <c r="E8" s="5" t="s">
        <v>189</v>
      </c>
      <c r="F8" s="5" t="s">
        <v>268</v>
      </c>
      <c r="G8" s="5" t="s">
        <v>279</v>
      </c>
      <c r="H8" s="5" t="s">
        <v>73</v>
      </c>
      <c r="I8" s="5" t="s">
        <v>272</v>
      </c>
      <c r="J8" s="5" t="s">
        <v>54</v>
      </c>
      <c r="K8" s="5" t="s">
        <v>46</v>
      </c>
      <c r="L8" s="155" t="s">
        <v>92</v>
      </c>
      <c r="M8" s="110" t="s">
        <v>93</v>
      </c>
      <c r="N8" s="2" t="s">
        <v>87</v>
      </c>
      <c r="O8" s="2" t="s">
        <v>170</v>
      </c>
      <c r="P8" s="2" t="s">
        <v>70</v>
      </c>
      <c r="Q8" s="51"/>
    </row>
    <row r="9" spans="1:35">
      <c r="A9" s="159" t="s">
        <v>196</v>
      </c>
      <c r="B9" s="153" t="s">
        <v>179</v>
      </c>
      <c r="C9" s="5" t="s">
        <v>278</v>
      </c>
      <c r="D9" s="5" t="s">
        <v>277</v>
      </c>
      <c r="E9" s="5" t="s">
        <v>189</v>
      </c>
      <c r="F9" s="5" t="s">
        <v>268</v>
      </c>
      <c r="G9" s="5" t="s">
        <v>112</v>
      </c>
      <c r="H9" s="5" t="s">
        <v>73</v>
      </c>
      <c r="I9" s="5" t="s">
        <v>93</v>
      </c>
      <c r="J9" s="5" t="s">
        <v>54</v>
      </c>
      <c r="K9" s="5" t="s">
        <v>46</v>
      </c>
      <c r="L9" s="155" t="s">
        <v>70</v>
      </c>
      <c r="M9" s="110" t="s">
        <v>280</v>
      </c>
      <c r="N9" s="2" t="s">
        <v>272</v>
      </c>
      <c r="O9" s="2" t="s">
        <v>87</v>
      </c>
      <c r="P9" s="2" t="s">
        <v>182</v>
      </c>
      <c r="Q9" s="51"/>
    </row>
    <row r="10" spans="1:35">
      <c r="A10" s="159" t="s">
        <v>197</v>
      </c>
      <c r="B10" s="153" t="s">
        <v>180</v>
      </c>
      <c r="C10" s="5" t="s">
        <v>177</v>
      </c>
      <c r="D10" s="5" t="s">
        <v>277</v>
      </c>
      <c r="E10" s="5" t="s">
        <v>105</v>
      </c>
      <c r="F10" s="5" t="s">
        <v>112</v>
      </c>
      <c r="G10" s="5" t="s">
        <v>279</v>
      </c>
      <c r="H10" s="5" t="s">
        <v>73</v>
      </c>
      <c r="I10" s="5" t="s">
        <v>272</v>
      </c>
      <c r="J10" s="5" t="s">
        <v>54</v>
      </c>
      <c r="K10" s="5" t="s">
        <v>271</v>
      </c>
      <c r="L10" s="155" t="s">
        <v>261</v>
      </c>
      <c r="M10" s="110" t="s">
        <v>70</v>
      </c>
      <c r="N10" s="2" t="s">
        <v>46</v>
      </c>
      <c r="O10" s="2" t="s">
        <v>93</v>
      </c>
      <c r="P10" s="2" t="s">
        <v>268</v>
      </c>
      <c r="Q10" s="51" t="s">
        <v>92</v>
      </c>
    </row>
    <row r="11" spans="1:35">
      <c r="A11" s="159" t="s">
        <v>198</v>
      </c>
      <c r="B11" s="153" t="s">
        <v>180</v>
      </c>
      <c r="C11" s="5" t="s">
        <v>177</v>
      </c>
      <c r="D11" s="5" t="s">
        <v>280</v>
      </c>
      <c r="E11" s="5" t="s">
        <v>105</v>
      </c>
      <c r="F11" s="5" t="s">
        <v>111</v>
      </c>
      <c r="G11" s="5" t="s">
        <v>279</v>
      </c>
      <c r="H11" s="5" t="s">
        <v>73</v>
      </c>
      <c r="I11" s="5" t="s">
        <v>93</v>
      </c>
      <c r="J11" s="5" t="s">
        <v>54</v>
      </c>
      <c r="K11" s="5" t="s">
        <v>46</v>
      </c>
      <c r="L11" s="155" t="s">
        <v>70</v>
      </c>
      <c r="M11" s="110" t="s">
        <v>170</v>
      </c>
      <c r="N11" s="2" t="s">
        <v>268</v>
      </c>
      <c r="O11" s="2" t="s">
        <v>272</v>
      </c>
      <c r="P11" s="2" t="s">
        <v>278</v>
      </c>
      <c r="Q11" s="51" t="s">
        <v>189</v>
      </c>
    </row>
    <row r="12" spans="1:35">
      <c r="A12" s="159" t="s">
        <v>199</v>
      </c>
      <c r="B12" s="153" t="s">
        <v>180</v>
      </c>
      <c r="C12" s="5" t="s">
        <v>177</v>
      </c>
      <c r="D12" s="5" t="s">
        <v>280</v>
      </c>
      <c r="E12" s="5" t="s">
        <v>278</v>
      </c>
      <c r="F12" s="5" t="s">
        <v>111</v>
      </c>
      <c r="G12" s="5" t="s">
        <v>279</v>
      </c>
      <c r="H12" s="5" t="s">
        <v>170</v>
      </c>
      <c r="I12" s="5" t="s">
        <v>93</v>
      </c>
      <c r="J12" s="5" t="s">
        <v>54</v>
      </c>
      <c r="K12" s="5" t="s">
        <v>46</v>
      </c>
      <c r="L12" s="155" t="s">
        <v>87</v>
      </c>
      <c r="M12" s="110" t="s">
        <v>70</v>
      </c>
      <c r="N12" s="2" t="s">
        <v>272</v>
      </c>
      <c r="O12" s="2" t="s">
        <v>268</v>
      </c>
      <c r="P12" s="2" t="s">
        <v>97</v>
      </c>
      <c r="Q12" s="51" t="s">
        <v>189</v>
      </c>
    </row>
    <row r="13" spans="1:35">
      <c r="A13" s="159" t="s">
        <v>200</v>
      </c>
      <c r="B13" s="153" t="s">
        <v>180</v>
      </c>
      <c r="C13" s="5" t="s">
        <v>177</v>
      </c>
      <c r="D13" s="5" t="s">
        <v>277</v>
      </c>
      <c r="E13" s="5" t="s">
        <v>105</v>
      </c>
      <c r="F13" s="5" t="s">
        <v>268</v>
      </c>
      <c r="G13" s="5" t="s">
        <v>279</v>
      </c>
      <c r="H13" s="5" t="s">
        <v>170</v>
      </c>
      <c r="I13" s="5" t="s">
        <v>93</v>
      </c>
      <c r="J13" s="5" t="s">
        <v>70</v>
      </c>
      <c r="K13" s="5" t="s">
        <v>46</v>
      </c>
      <c r="L13" s="155" t="s">
        <v>87</v>
      </c>
      <c r="M13" s="110" t="s">
        <v>54</v>
      </c>
      <c r="N13" s="2" t="s">
        <v>97</v>
      </c>
      <c r="O13" s="2" t="s">
        <v>272</v>
      </c>
      <c r="P13" s="2" t="s">
        <v>143</v>
      </c>
      <c r="Q13" s="51" t="s">
        <v>189</v>
      </c>
    </row>
    <row r="14" spans="1:35">
      <c r="A14" s="159" t="s">
        <v>201</v>
      </c>
      <c r="B14" s="153" t="s">
        <v>179</v>
      </c>
      <c r="C14" s="5" t="s">
        <v>177</v>
      </c>
      <c r="D14" s="5" t="s">
        <v>277</v>
      </c>
      <c r="E14" s="5" t="s">
        <v>105</v>
      </c>
      <c r="F14" s="5" t="s">
        <v>268</v>
      </c>
      <c r="G14" s="5" t="s">
        <v>279</v>
      </c>
      <c r="H14" s="5" t="s">
        <v>170</v>
      </c>
      <c r="I14" s="5" t="s">
        <v>272</v>
      </c>
      <c r="J14" s="5" t="s">
        <v>54</v>
      </c>
      <c r="K14" s="5" t="s">
        <v>46</v>
      </c>
      <c r="L14" s="155" t="s">
        <v>87</v>
      </c>
      <c r="M14" s="110" t="s">
        <v>93</v>
      </c>
      <c r="N14" s="2" t="s">
        <v>189</v>
      </c>
      <c r="O14" s="2" t="s">
        <v>143</v>
      </c>
      <c r="P14" s="2" t="s">
        <v>111</v>
      </c>
      <c r="Q14" s="51" t="s">
        <v>97</v>
      </c>
    </row>
    <row r="15" spans="1:35">
      <c r="A15" s="159" t="s">
        <v>202</v>
      </c>
      <c r="B15" s="153" t="s">
        <v>179</v>
      </c>
      <c r="C15" s="5" t="s">
        <v>177</v>
      </c>
      <c r="D15" s="5" t="s">
        <v>277</v>
      </c>
      <c r="E15" s="5" t="s">
        <v>189</v>
      </c>
      <c r="F15" s="5" t="s">
        <v>268</v>
      </c>
      <c r="G15" s="5" t="s">
        <v>111</v>
      </c>
      <c r="H15" s="5" t="s">
        <v>170</v>
      </c>
      <c r="I15" s="5" t="s">
        <v>93</v>
      </c>
      <c r="J15" s="5" t="s">
        <v>54</v>
      </c>
      <c r="K15" s="5" t="s">
        <v>46</v>
      </c>
      <c r="L15" s="155" t="s">
        <v>87</v>
      </c>
      <c r="M15" s="110" t="s">
        <v>272</v>
      </c>
      <c r="N15" s="2" t="s">
        <v>143</v>
      </c>
      <c r="O15" s="2" t="s">
        <v>97</v>
      </c>
      <c r="P15" s="2" t="s">
        <v>171</v>
      </c>
      <c r="Q15" s="51" t="s">
        <v>271</v>
      </c>
    </row>
    <row r="16" spans="1:35">
      <c r="A16" s="159" t="s">
        <v>203</v>
      </c>
      <c r="B16" s="153" t="s">
        <v>179</v>
      </c>
      <c r="C16" s="5" t="s">
        <v>97</v>
      </c>
      <c r="D16" s="5" t="s">
        <v>280</v>
      </c>
      <c r="E16" s="5" t="s">
        <v>278</v>
      </c>
      <c r="F16" s="5" t="s">
        <v>281</v>
      </c>
      <c r="G16" s="5" t="s">
        <v>112</v>
      </c>
      <c r="H16" s="5" t="s">
        <v>170</v>
      </c>
      <c r="I16" s="5" t="s">
        <v>272</v>
      </c>
      <c r="J16" s="5" t="s">
        <v>54</v>
      </c>
      <c r="K16" s="5" t="s">
        <v>271</v>
      </c>
      <c r="L16" s="155" t="s">
        <v>70</v>
      </c>
      <c r="M16" s="110" t="s">
        <v>143</v>
      </c>
      <c r="N16" s="2" t="s">
        <v>87</v>
      </c>
      <c r="O16" s="2" t="s">
        <v>264</v>
      </c>
      <c r="P16" s="2" t="s">
        <v>177</v>
      </c>
      <c r="Q16" s="51" t="s">
        <v>46</v>
      </c>
    </row>
    <row r="17" spans="1:17">
      <c r="A17" s="159" t="s">
        <v>204</v>
      </c>
      <c r="B17" s="153" t="s">
        <v>179</v>
      </c>
      <c r="C17" s="5" t="s">
        <v>189</v>
      </c>
      <c r="D17" s="5" t="s">
        <v>277</v>
      </c>
      <c r="E17" s="5" t="s">
        <v>177</v>
      </c>
      <c r="F17" s="5" t="s">
        <v>281</v>
      </c>
      <c r="G17" s="5" t="s">
        <v>268</v>
      </c>
      <c r="H17" s="5" t="s">
        <v>93</v>
      </c>
      <c r="I17" s="5" t="s">
        <v>272</v>
      </c>
      <c r="J17" s="5" t="s">
        <v>54</v>
      </c>
      <c r="K17" s="5" t="s">
        <v>46</v>
      </c>
      <c r="L17" s="155" t="s">
        <v>156</v>
      </c>
      <c r="M17" s="110" t="s">
        <v>170</v>
      </c>
      <c r="N17" s="2" t="s">
        <v>70</v>
      </c>
      <c r="O17" s="2" t="s">
        <v>171</v>
      </c>
      <c r="P17" s="2" t="s">
        <v>271</v>
      </c>
      <c r="Q17" s="51" t="s">
        <v>279</v>
      </c>
    </row>
    <row r="18" spans="1:17">
      <c r="A18" s="159" t="s">
        <v>205</v>
      </c>
      <c r="B18" s="153" t="s">
        <v>180</v>
      </c>
      <c r="C18" s="5" t="s">
        <v>97</v>
      </c>
      <c r="D18" s="5" t="s">
        <v>280</v>
      </c>
      <c r="E18" s="5" t="s">
        <v>278</v>
      </c>
      <c r="F18" s="5" t="s">
        <v>281</v>
      </c>
      <c r="G18" s="5" t="s">
        <v>112</v>
      </c>
      <c r="H18" s="5" t="s">
        <v>170</v>
      </c>
      <c r="I18" s="5" t="s">
        <v>171</v>
      </c>
      <c r="J18" s="5" t="s">
        <v>54</v>
      </c>
      <c r="K18" s="5" t="s">
        <v>271</v>
      </c>
      <c r="L18" s="155" t="s">
        <v>70</v>
      </c>
      <c r="M18" s="110" t="s">
        <v>143</v>
      </c>
      <c r="N18" s="2" t="s">
        <v>272</v>
      </c>
      <c r="O18" s="2" t="s">
        <v>46</v>
      </c>
      <c r="P18" s="2" t="s">
        <v>279</v>
      </c>
      <c r="Q18" s="51" t="s">
        <v>87</v>
      </c>
    </row>
    <row r="19" spans="1:17">
      <c r="A19" s="159" t="s">
        <v>206</v>
      </c>
      <c r="B19" s="153" t="s">
        <v>180</v>
      </c>
      <c r="C19" s="5" t="s">
        <v>189</v>
      </c>
      <c r="D19" s="5" t="s">
        <v>277</v>
      </c>
      <c r="E19" s="5" t="s">
        <v>177</v>
      </c>
      <c r="F19" s="5" t="s">
        <v>281</v>
      </c>
      <c r="G19" s="5" t="s">
        <v>112</v>
      </c>
      <c r="H19" s="5" t="s">
        <v>170</v>
      </c>
      <c r="I19" s="5" t="s">
        <v>171</v>
      </c>
      <c r="J19" s="5" t="s">
        <v>54</v>
      </c>
      <c r="K19" s="5" t="s">
        <v>46</v>
      </c>
      <c r="L19" s="155" t="s">
        <v>87</v>
      </c>
      <c r="M19" s="110" t="s">
        <v>143</v>
      </c>
      <c r="N19" s="2" t="s">
        <v>272</v>
      </c>
      <c r="O19" s="2" t="s">
        <v>268</v>
      </c>
      <c r="P19" s="2" t="s">
        <v>97</v>
      </c>
      <c r="Q19" s="51" t="s">
        <v>279</v>
      </c>
    </row>
    <row r="20" spans="1:17">
      <c r="A20" s="159" t="s">
        <v>207</v>
      </c>
      <c r="B20" s="153" t="s">
        <v>180</v>
      </c>
      <c r="C20" s="5" t="s">
        <v>97</v>
      </c>
      <c r="D20" s="5" t="s">
        <v>280</v>
      </c>
      <c r="E20" s="5" t="s">
        <v>278</v>
      </c>
      <c r="F20" s="5" t="s">
        <v>281</v>
      </c>
      <c r="G20" s="5" t="s">
        <v>279</v>
      </c>
      <c r="H20" s="5" t="s">
        <v>170</v>
      </c>
      <c r="I20" s="5" t="s">
        <v>171</v>
      </c>
      <c r="J20" s="5" t="s">
        <v>111</v>
      </c>
      <c r="K20" s="5" t="s">
        <v>54</v>
      </c>
      <c r="L20" s="155" t="s">
        <v>143</v>
      </c>
      <c r="M20" s="110" t="s">
        <v>46</v>
      </c>
      <c r="N20" s="2" t="s">
        <v>87</v>
      </c>
      <c r="O20" s="2" t="s">
        <v>272</v>
      </c>
      <c r="P20" s="2" t="s">
        <v>268</v>
      </c>
      <c r="Q20" s="51"/>
    </row>
    <row r="21" spans="1:17">
      <c r="A21" s="159" t="s">
        <v>208</v>
      </c>
      <c r="B21" s="153" t="s">
        <v>179</v>
      </c>
      <c r="C21" s="5" t="s">
        <v>97</v>
      </c>
      <c r="D21" s="5" t="s">
        <v>277</v>
      </c>
      <c r="E21" s="5" t="s">
        <v>177</v>
      </c>
      <c r="F21" s="5" t="s">
        <v>112</v>
      </c>
      <c r="G21" s="5" t="s">
        <v>268</v>
      </c>
      <c r="H21" s="5" t="s">
        <v>170</v>
      </c>
      <c r="I21" s="5" t="s">
        <v>171</v>
      </c>
      <c r="J21" s="5" t="s">
        <v>272</v>
      </c>
      <c r="K21" s="5" t="s">
        <v>46</v>
      </c>
      <c r="L21" s="155" t="s">
        <v>143</v>
      </c>
      <c r="M21" s="110" t="s">
        <v>279</v>
      </c>
      <c r="N21" s="2" t="s">
        <v>111</v>
      </c>
      <c r="O21" s="2" t="s">
        <v>182</v>
      </c>
      <c r="P21" s="2" t="s">
        <v>156</v>
      </c>
      <c r="Q21" s="51"/>
    </row>
    <row r="22" spans="1:17">
      <c r="A22" s="159" t="s">
        <v>209</v>
      </c>
      <c r="B22" s="153" t="s">
        <v>180</v>
      </c>
      <c r="C22" s="5" t="s">
        <v>105</v>
      </c>
      <c r="D22" s="5" t="s">
        <v>277</v>
      </c>
      <c r="E22" s="5" t="s">
        <v>177</v>
      </c>
      <c r="F22" s="5" t="s">
        <v>111</v>
      </c>
      <c r="G22" s="5" t="s">
        <v>279</v>
      </c>
      <c r="H22" s="5" t="s">
        <v>97</v>
      </c>
      <c r="I22" s="5" t="s">
        <v>171</v>
      </c>
      <c r="J22" s="5" t="s">
        <v>92</v>
      </c>
      <c r="K22" s="5" t="s">
        <v>46</v>
      </c>
      <c r="L22" s="155" t="s">
        <v>267</v>
      </c>
      <c r="M22" s="110" t="s">
        <v>278</v>
      </c>
      <c r="N22" s="2" t="s">
        <v>143</v>
      </c>
      <c r="O22" s="2" t="s">
        <v>87</v>
      </c>
      <c r="P22" s="2" t="s">
        <v>93</v>
      </c>
      <c r="Q22" s="51" t="s">
        <v>281</v>
      </c>
    </row>
    <row r="23" spans="1:17">
      <c r="A23" s="159" t="s">
        <v>210</v>
      </c>
      <c r="B23" s="153" t="s">
        <v>180</v>
      </c>
      <c r="C23" s="5" t="s">
        <v>97</v>
      </c>
      <c r="D23" s="5" t="s">
        <v>277</v>
      </c>
      <c r="E23" s="5" t="s">
        <v>105</v>
      </c>
      <c r="F23" s="5" t="s">
        <v>111</v>
      </c>
      <c r="G23" s="5" t="s">
        <v>268</v>
      </c>
      <c r="H23" s="5" t="s">
        <v>279</v>
      </c>
      <c r="I23" s="5" t="s">
        <v>171</v>
      </c>
      <c r="J23" s="5" t="s">
        <v>93</v>
      </c>
      <c r="K23" s="5" t="s">
        <v>46</v>
      </c>
      <c r="L23" s="155" t="s">
        <v>267</v>
      </c>
      <c r="M23" s="110" t="s">
        <v>143</v>
      </c>
      <c r="N23" s="2" t="s">
        <v>87</v>
      </c>
      <c r="O23" s="2" t="s">
        <v>73</v>
      </c>
      <c r="P23" s="2"/>
      <c r="Q23" s="51"/>
    </row>
    <row r="24" spans="1:17">
      <c r="A24" s="159" t="s">
        <v>211</v>
      </c>
      <c r="B24" s="153" t="s">
        <v>180</v>
      </c>
      <c r="C24" s="5" t="s">
        <v>97</v>
      </c>
      <c r="D24" s="5" t="s">
        <v>277</v>
      </c>
      <c r="E24" s="5" t="s">
        <v>105</v>
      </c>
      <c r="F24" s="5" t="s">
        <v>279</v>
      </c>
      <c r="G24" s="5" t="s">
        <v>281</v>
      </c>
      <c r="H24" s="5" t="s">
        <v>171</v>
      </c>
      <c r="I24" s="5" t="s">
        <v>93</v>
      </c>
      <c r="J24" s="5" t="s">
        <v>111</v>
      </c>
      <c r="K24" s="5" t="s">
        <v>46</v>
      </c>
      <c r="L24" s="155" t="s">
        <v>143</v>
      </c>
      <c r="M24" s="110" t="s">
        <v>73</v>
      </c>
      <c r="N24" s="2" t="s">
        <v>87</v>
      </c>
      <c r="O24" s="2" t="s">
        <v>264</v>
      </c>
      <c r="P24" s="2" t="s">
        <v>268</v>
      </c>
      <c r="Q24" s="51"/>
    </row>
    <row r="25" spans="1:17">
      <c r="A25" s="159" t="s">
        <v>212</v>
      </c>
      <c r="B25" s="153" t="s">
        <v>180</v>
      </c>
      <c r="C25" s="5" t="s">
        <v>97</v>
      </c>
      <c r="D25" s="5" t="s">
        <v>277</v>
      </c>
      <c r="E25" s="5" t="s">
        <v>189</v>
      </c>
      <c r="F25" s="5" t="s">
        <v>279</v>
      </c>
      <c r="G25" s="5" t="s">
        <v>281</v>
      </c>
      <c r="H25" s="5" t="s">
        <v>171</v>
      </c>
      <c r="I25" s="5" t="s">
        <v>93</v>
      </c>
      <c r="J25" s="5" t="s">
        <v>73</v>
      </c>
      <c r="K25" s="5" t="s">
        <v>46</v>
      </c>
      <c r="L25" s="155" t="s">
        <v>143</v>
      </c>
      <c r="M25" s="110" t="s">
        <v>272</v>
      </c>
      <c r="N25" s="2" t="s">
        <v>111</v>
      </c>
      <c r="O25" s="2" t="s">
        <v>87</v>
      </c>
      <c r="P25" s="2" t="s">
        <v>177</v>
      </c>
      <c r="Q25" s="51" t="s">
        <v>268</v>
      </c>
    </row>
    <row r="26" spans="1:17">
      <c r="A26" s="159" t="s">
        <v>213</v>
      </c>
      <c r="B26" s="153" t="s">
        <v>180</v>
      </c>
      <c r="C26" s="5" t="s">
        <v>97</v>
      </c>
      <c r="D26" s="5" t="s">
        <v>277</v>
      </c>
      <c r="E26" s="5" t="s">
        <v>177</v>
      </c>
      <c r="F26" s="5" t="s">
        <v>279</v>
      </c>
      <c r="G26" s="5" t="s">
        <v>281</v>
      </c>
      <c r="H26" s="5" t="s">
        <v>73</v>
      </c>
      <c r="I26" s="5" t="s">
        <v>272</v>
      </c>
      <c r="J26" s="5" t="s">
        <v>111</v>
      </c>
      <c r="K26" s="5" t="s">
        <v>46</v>
      </c>
      <c r="L26" s="155" t="s">
        <v>87</v>
      </c>
      <c r="M26" s="110" t="s">
        <v>143</v>
      </c>
      <c r="N26" s="2" t="s">
        <v>171</v>
      </c>
      <c r="O26" s="2" t="s">
        <v>93</v>
      </c>
      <c r="P26" s="2"/>
      <c r="Q26" s="51"/>
    </row>
    <row r="27" spans="1:17">
      <c r="A27" s="159" t="s">
        <v>214</v>
      </c>
      <c r="B27" s="153" t="s">
        <v>180</v>
      </c>
      <c r="C27" s="5" t="s">
        <v>177</v>
      </c>
      <c r="D27" s="5" t="s">
        <v>277</v>
      </c>
      <c r="E27" s="5" t="s">
        <v>268</v>
      </c>
      <c r="F27" s="5" t="s">
        <v>279</v>
      </c>
      <c r="G27" s="5" t="s">
        <v>171</v>
      </c>
      <c r="H27" s="5" t="s">
        <v>73</v>
      </c>
      <c r="I27" s="5" t="s">
        <v>272</v>
      </c>
      <c r="J27" s="5" t="s">
        <v>143</v>
      </c>
      <c r="K27" s="5" t="s">
        <v>46</v>
      </c>
      <c r="L27" s="155" t="s">
        <v>87</v>
      </c>
      <c r="M27" s="110" t="s">
        <v>97</v>
      </c>
      <c r="N27" s="2" t="s">
        <v>189</v>
      </c>
      <c r="O27" s="2" t="s">
        <v>54</v>
      </c>
      <c r="P27" s="2" t="s">
        <v>111</v>
      </c>
      <c r="Q27" s="51" t="s">
        <v>170</v>
      </c>
    </row>
    <row r="28" spans="1:17">
      <c r="A28" s="159" t="s">
        <v>215</v>
      </c>
      <c r="B28" s="153" t="s">
        <v>180</v>
      </c>
      <c r="C28" s="5" t="s">
        <v>97</v>
      </c>
      <c r="D28" s="5" t="s">
        <v>277</v>
      </c>
      <c r="E28" s="5" t="s">
        <v>268</v>
      </c>
      <c r="F28" s="5" t="s">
        <v>279</v>
      </c>
      <c r="G28" s="5" t="s">
        <v>171</v>
      </c>
      <c r="H28" s="5" t="s">
        <v>73</v>
      </c>
      <c r="I28" s="5" t="s">
        <v>272</v>
      </c>
      <c r="J28" s="5" t="s">
        <v>170</v>
      </c>
      <c r="K28" s="5" t="s">
        <v>46</v>
      </c>
      <c r="L28" s="155" t="s">
        <v>54</v>
      </c>
      <c r="M28" s="110" t="s">
        <v>143</v>
      </c>
      <c r="N28" s="2" t="s">
        <v>70</v>
      </c>
      <c r="O28" s="2" t="s">
        <v>189</v>
      </c>
      <c r="P28" s="2" t="s">
        <v>179</v>
      </c>
      <c r="Q28" s="51" t="s">
        <v>264</v>
      </c>
    </row>
    <row r="29" spans="1:17">
      <c r="A29" s="159" t="s">
        <v>216</v>
      </c>
      <c r="B29" s="153" t="s">
        <v>179</v>
      </c>
      <c r="C29" s="5" t="s">
        <v>97</v>
      </c>
      <c r="D29" s="5" t="s">
        <v>277</v>
      </c>
      <c r="E29" s="5" t="s">
        <v>268</v>
      </c>
      <c r="F29" s="5" t="s">
        <v>279</v>
      </c>
      <c r="G29" s="5" t="s">
        <v>171</v>
      </c>
      <c r="H29" s="5" t="s">
        <v>73</v>
      </c>
      <c r="I29" s="5" t="s">
        <v>170</v>
      </c>
      <c r="J29" s="5" t="s">
        <v>70</v>
      </c>
      <c r="K29" s="5" t="s">
        <v>46</v>
      </c>
      <c r="L29" s="155" t="s">
        <v>87</v>
      </c>
      <c r="M29" s="110" t="s">
        <v>143</v>
      </c>
      <c r="N29" s="2" t="s">
        <v>54</v>
      </c>
      <c r="O29" s="2" t="s">
        <v>189</v>
      </c>
      <c r="P29" s="2" t="s">
        <v>93</v>
      </c>
      <c r="Q29" s="51" t="s">
        <v>112</v>
      </c>
    </row>
    <row r="30" spans="1:17">
      <c r="A30" s="159" t="s">
        <v>217</v>
      </c>
      <c r="B30" s="153" t="s">
        <v>179</v>
      </c>
      <c r="C30" s="5" t="s">
        <v>97</v>
      </c>
      <c r="D30" s="5" t="s">
        <v>277</v>
      </c>
      <c r="E30" s="5" t="s">
        <v>268</v>
      </c>
      <c r="F30" s="5" t="s">
        <v>189</v>
      </c>
      <c r="G30" s="5" t="s">
        <v>171</v>
      </c>
      <c r="H30" s="5" t="s">
        <v>73</v>
      </c>
      <c r="I30" s="5" t="s">
        <v>170</v>
      </c>
      <c r="J30" s="5" t="s">
        <v>70</v>
      </c>
      <c r="K30" s="5" t="s">
        <v>46</v>
      </c>
      <c r="L30" s="155" t="s">
        <v>111</v>
      </c>
      <c r="M30" s="110" t="s">
        <v>143</v>
      </c>
      <c r="N30" s="2" t="s">
        <v>54</v>
      </c>
      <c r="O30" s="2" t="s">
        <v>272</v>
      </c>
      <c r="P30" s="2" t="s">
        <v>279</v>
      </c>
      <c r="Q30" s="51" t="s">
        <v>112</v>
      </c>
    </row>
    <row r="31" spans="1:17">
      <c r="A31" s="159" t="s">
        <v>218</v>
      </c>
      <c r="B31" s="153" t="s">
        <v>179</v>
      </c>
      <c r="C31" s="5" t="s">
        <v>97</v>
      </c>
      <c r="D31" s="5" t="s">
        <v>277</v>
      </c>
      <c r="E31" s="5" t="s">
        <v>112</v>
      </c>
      <c r="F31" s="5" t="s">
        <v>279</v>
      </c>
      <c r="G31" s="5" t="s">
        <v>171</v>
      </c>
      <c r="H31" s="5" t="s">
        <v>73</v>
      </c>
      <c r="I31" s="5" t="s">
        <v>170</v>
      </c>
      <c r="J31" s="5" t="s">
        <v>70</v>
      </c>
      <c r="K31" s="5" t="s">
        <v>143</v>
      </c>
      <c r="L31" s="155" t="s">
        <v>272</v>
      </c>
      <c r="M31" s="110" t="s">
        <v>281</v>
      </c>
      <c r="N31" s="2" t="s">
        <v>268</v>
      </c>
      <c r="O31" s="2" t="s">
        <v>111</v>
      </c>
      <c r="P31" s="2" t="s">
        <v>54</v>
      </c>
      <c r="Q31" s="51" t="s">
        <v>46</v>
      </c>
    </row>
    <row r="32" spans="1:17">
      <c r="A32" s="159" t="s">
        <v>219</v>
      </c>
      <c r="B32" s="153" t="s">
        <v>180</v>
      </c>
      <c r="C32" s="5" t="s">
        <v>97</v>
      </c>
      <c r="D32" s="5" t="s">
        <v>277</v>
      </c>
      <c r="E32" s="5" t="s">
        <v>112</v>
      </c>
      <c r="F32" s="5" t="s">
        <v>281</v>
      </c>
      <c r="G32" s="5" t="s">
        <v>279</v>
      </c>
      <c r="H32" s="5" t="s">
        <v>73</v>
      </c>
      <c r="I32" s="5" t="s">
        <v>170</v>
      </c>
      <c r="J32" s="5" t="s">
        <v>87</v>
      </c>
      <c r="K32" s="5" t="s">
        <v>46</v>
      </c>
      <c r="L32" s="155" t="s">
        <v>156</v>
      </c>
      <c r="M32" s="110" t="s">
        <v>143</v>
      </c>
      <c r="N32" s="2" t="s">
        <v>70</v>
      </c>
      <c r="O32" s="2" t="s">
        <v>272</v>
      </c>
      <c r="P32" s="2" t="s">
        <v>268</v>
      </c>
      <c r="Q32" s="51" t="s">
        <v>171</v>
      </c>
    </row>
    <row r="33" spans="1:17">
      <c r="A33" s="159" t="s">
        <v>221</v>
      </c>
      <c r="B33" s="153" t="s">
        <v>180</v>
      </c>
      <c r="C33" s="5" t="s">
        <v>97</v>
      </c>
      <c r="D33" s="5" t="s">
        <v>277</v>
      </c>
      <c r="E33" s="5" t="s">
        <v>112</v>
      </c>
      <c r="F33" s="5" t="s">
        <v>281</v>
      </c>
      <c r="G33" s="5" t="s">
        <v>171</v>
      </c>
      <c r="H33" s="5" t="s">
        <v>73</v>
      </c>
      <c r="I33" s="5" t="s">
        <v>170</v>
      </c>
      <c r="J33" s="5" t="s">
        <v>70</v>
      </c>
      <c r="K33" s="5" t="s">
        <v>46</v>
      </c>
      <c r="L33" s="155" t="s">
        <v>156</v>
      </c>
      <c r="M33" s="110" t="s">
        <v>143</v>
      </c>
      <c r="N33" s="2" t="s">
        <v>87</v>
      </c>
      <c r="O33" s="2" t="s">
        <v>279</v>
      </c>
      <c r="P33" s="2" t="s">
        <v>268</v>
      </c>
      <c r="Q33" s="51"/>
    </row>
    <row r="34" spans="1:17">
      <c r="A34" s="159" t="s">
        <v>222</v>
      </c>
      <c r="B34" s="153" t="s">
        <v>180</v>
      </c>
      <c r="C34" s="5" t="s">
        <v>97</v>
      </c>
      <c r="D34" s="5" t="s">
        <v>277</v>
      </c>
      <c r="E34" s="5" t="s">
        <v>268</v>
      </c>
      <c r="F34" s="5" t="s">
        <v>112</v>
      </c>
      <c r="G34" s="5" t="s">
        <v>279</v>
      </c>
      <c r="H34" s="5" t="s">
        <v>73</v>
      </c>
      <c r="I34" s="5" t="s">
        <v>170</v>
      </c>
      <c r="J34" s="5" t="s">
        <v>272</v>
      </c>
      <c r="K34" s="5" t="s">
        <v>46</v>
      </c>
      <c r="L34" s="155" t="s">
        <v>143</v>
      </c>
      <c r="M34" s="110" t="s">
        <v>87</v>
      </c>
      <c r="N34" s="2" t="s">
        <v>70</v>
      </c>
      <c r="O34" s="2" t="s">
        <v>111</v>
      </c>
      <c r="P34" s="2" t="s">
        <v>189</v>
      </c>
      <c r="Q34" s="51" t="s">
        <v>105</v>
      </c>
    </row>
    <row r="35" spans="1:17">
      <c r="A35" s="159" t="s">
        <v>223</v>
      </c>
      <c r="B35" s="153" t="s">
        <v>180</v>
      </c>
      <c r="C35" s="5" t="s">
        <v>97</v>
      </c>
      <c r="D35" s="5" t="s">
        <v>189</v>
      </c>
      <c r="E35" s="5" t="s">
        <v>105</v>
      </c>
      <c r="F35" s="5" t="s">
        <v>111</v>
      </c>
      <c r="G35" s="5" t="s">
        <v>279</v>
      </c>
      <c r="H35" s="5" t="s">
        <v>73</v>
      </c>
      <c r="I35" s="5" t="s">
        <v>170</v>
      </c>
      <c r="J35" s="5" t="s">
        <v>93</v>
      </c>
      <c r="K35" s="5" t="s">
        <v>70</v>
      </c>
      <c r="L35" s="155" t="s">
        <v>92</v>
      </c>
      <c r="M35" s="110" t="s">
        <v>278</v>
      </c>
      <c r="N35" s="2" t="s">
        <v>46</v>
      </c>
      <c r="O35" s="2" t="s">
        <v>281</v>
      </c>
      <c r="P35" s="2" t="s">
        <v>112</v>
      </c>
      <c r="Q35" s="51" t="s">
        <v>261</v>
      </c>
    </row>
    <row r="36" spans="1:17">
      <c r="A36" s="159" t="s">
        <v>224</v>
      </c>
      <c r="B36" s="153" t="s">
        <v>180</v>
      </c>
      <c r="C36" s="5" t="s">
        <v>97</v>
      </c>
      <c r="D36" s="5" t="s">
        <v>189</v>
      </c>
      <c r="E36" s="5" t="s">
        <v>105</v>
      </c>
      <c r="F36" s="5" t="s">
        <v>111</v>
      </c>
      <c r="G36" s="5" t="s">
        <v>279</v>
      </c>
      <c r="H36" s="5" t="s">
        <v>73</v>
      </c>
      <c r="I36" s="5" t="s">
        <v>170</v>
      </c>
      <c r="J36" s="5" t="s">
        <v>93</v>
      </c>
      <c r="K36" s="5" t="s">
        <v>70</v>
      </c>
      <c r="L36" s="155" t="s">
        <v>46</v>
      </c>
      <c r="M36" s="110" t="s">
        <v>278</v>
      </c>
      <c r="N36" s="2" t="s">
        <v>92</v>
      </c>
      <c r="O36" s="2" t="s">
        <v>281</v>
      </c>
      <c r="P36" s="2" t="s">
        <v>264</v>
      </c>
      <c r="Q36" s="51"/>
    </row>
    <row r="37" spans="1:17">
      <c r="A37" s="159" t="s">
        <v>225</v>
      </c>
      <c r="B37" s="153"/>
      <c r="C37" s="5"/>
      <c r="D37" s="5"/>
      <c r="E37" s="5"/>
      <c r="F37" s="5"/>
      <c r="G37" s="5"/>
      <c r="H37" s="5"/>
      <c r="I37" s="5"/>
      <c r="J37" s="5"/>
      <c r="K37" s="5"/>
      <c r="L37" s="155"/>
      <c r="M37" s="110"/>
      <c r="N37" s="2"/>
      <c r="O37" s="2"/>
      <c r="P37" s="2"/>
      <c r="Q37" s="51"/>
    </row>
    <row r="38" spans="1:17">
      <c r="A38" s="159" t="s">
        <v>226</v>
      </c>
      <c r="B38" s="153"/>
      <c r="C38" s="5"/>
      <c r="D38" s="5"/>
      <c r="E38" s="5"/>
      <c r="F38" s="5"/>
      <c r="G38" s="5"/>
      <c r="H38" s="5"/>
      <c r="I38" s="5"/>
      <c r="J38" s="5"/>
      <c r="K38" s="5"/>
      <c r="L38" s="155"/>
      <c r="M38" s="110"/>
      <c r="N38" s="2"/>
      <c r="O38" s="2"/>
      <c r="P38" s="2"/>
      <c r="Q38" s="51"/>
    </row>
    <row r="39" spans="1:17" ht="17.5" customHeight="1" thickBot="1">
      <c r="A39" s="159" t="s">
        <v>227</v>
      </c>
      <c r="B39" s="154"/>
      <c r="C39" s="160"/>
      <c r="D39" s="160"/>
      <c r="E39" s="160"/>
      <c r="F39" s="160"/>
      <c r="G39" s="160"/>
      <c r="H39" s="160"/>
      <c r="I39" s="160"/>
      <c r="J39" s="160"/>
      <c r="K39" s="160"/>
      <c r="L39" s="156"/>
      <c r="M39" s="100"/>
      <c r="N39" s="146"/>
      <c r="O39" s="146"/>
      <c r="P39" s="146"/>
      <c r="Q39" s="52"/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25"/>
  <sheetViews>
    <sheetView workbookViewId="0">
      <selection activeCell="B3" sqref="B3:B23"/>
    </sheetView>
  </sheetViews>
  <sheetFormatPr defaultRowHeight="17"/>
  <cols>
    <col min="1" max="1" width="7" style="452" bestFit="1" customWidth="1"/>
    <col min="2" max="2" width="10.83203125" style="452" bestFit="1" customWidth="1"/>
    <col min="3" max="3" width="6.75" style="452" bestFit="1" customWidth="1"/>
    <col min="4" max="4" width="10.5" style="452" bestFit="1" customWidth="1"/>
    <col min="5" max="5" width="8.58203125" style="452" bestFit="1" customWidth="1"/>
    <col min="6" max="6" width="15.33203125" style="452" bestFit="1" customWidth="1"/>
    <col min="7" max="7" width="9.33203125" style="452" bestFit="1" customWidth="1"/>
    <col min="10" max="10" width="10.83203125" style="452" bestFit="1" customWidth="1"/>
  </cols>
  <sheetData>
    <row r="2" spans="1:10">
      <c r="A2" s="138" t="s">
        <v>1</v>
      </c>
      <c r="B2" s="138" t="s">
        <v>123</v>
      </c>
      <c r="C2" s="138" t="s">
        <v>30</v>
      </c>
      <c r="D2" s="138" t="s">
        <v>124</v>
      </c>
      <c r="E2" s="138" t="s">
        <v>289</v>
      </c>
      <c r="F2" s="138" t="s">
        <v>290</v>
      </c>
    </row>
    <row r="3" spans="1:10">
      <c r="A3" s="222">
        <v>2004</v>
      </c>
      <c r="B3" s="214">
        <v>142821</v>
      </c>
      <c r="C3" s="217">
        <v>12</v>
      </c>
      <c r="D3" s="215">
        <v>11902</v>
      </c>
      <c r="E3" s="218" t="s">
        <v>291</v>
      </c>
      <c r="F3" s="96"/>
      <c r="G3" s="213"/>
      <c r="H3" s="214"/>
      <c r="I3" s="213"/>
      <c r="J3" s="213"/>
    </row>
    <row r="4" spans="1:10">
      <c r="A4" s="222">
        <v>2005</v>
      </c>
      <c r="B4" s="214">
        <v>316591</v>
      </c>
      <c r="C4" s="217">
        <v>13</v>
      </c>
      <c r="D4" s="215">
        <v>24353</v>
      </c>
      <c r="E4" s="218" t="s">
        <v>291</v>
      </c>
      <c r="F4" s="96"/>
      <c r="G4" s="213"/>
      <c r="H4" s="214"/>
      <c r="I4" s="213"/>
      <c r="J4" s="213"/>
    </row>
    <row r="5" spans="1:10">
      <c r="A5" s="222">
        <v>2006</v>
      </c>
      <c r="B5" s="214">
        <v>149559</v>
      </c>
      <c r="C5" s="217">
        <v>13</v>
      </c>
      <c r="D5" s="215">
        <v>11505</v>
      </c>
      <c r="E5" s="218" t="s">
        <v>291</v>
      </c>
      <c r="F5" s="96"/>
      <c r="G5" s="213"/>
      <c r="H5" s="214"/>
      <c r="I5" s="213"/>
      <c r="J5" s="213"/>
    </row>
    <row r="6" spans="1:10">
      <c r="A6" s="222">
        <v>2007</v>
      </c>
      <c r="B6" s="214">
        <v>216728</v>
      </c>
      <c r="C6" s="217">
        <v>13</v>
      </c>
      <c r="D6" s="215">
        <v>16671</v>
      </c>
      <c r="E6" s="218" t="s">
        <v>291</v>
      </c>
      <c r="F6" s="96"/>
      <c r="G6" s="213"/>
      <c r="H6" s="214"/>
      <c r="I6" s="213"/>
      <c r="J6" s="224"/>
    </row>
    <row r="7" spans="1:10">
      <c r="A7" s="222">
        <v>2008</v>
      </c>
      <c r="B7" s="214">
        <v>175023</v>
      </c>
      <c r="C7" s="217">
        <v>13</v>
      </c>
      <c r="D7" s="215">
        <v>13463</v>
      </c>
      <c r="E7" s="218" t="s">
        <v>291</v>
      </c>
      <c r="F7" s="96"/>
      <c r="G7" s="213"/>
      <c r="H7" s="214"/>
      <c r="I7" s="213"/>
      <c r="J7" s="213"/>
    </row>
    <row r="8" spans="1:10">
      <c r="A8" s="222">
        <v>2009</v>
      </c>
      <c r="B8" s="214">
        <v>146985</v>
      </c>
      <c r="C8" s="217">
        <v>14</v>
      </c>
      <c r="D8" s="215">
        <v>10499</v>
      </c>
      <c r="E8" s="218" t="s">
        <v>291</v>
      </c>
      <c r="F8" s="96"/>
      <c r="G8" s="213"/>
      <c r="H8" s="214"/>
      <c r="I8" s="213"/>
      <c r="J8" s="223"/>
    </row>
    <row r="9" spans="1:10">
      <c r="A9" s="222">
        <v>2010</v>
      </c>
      <c r="B9" s="214">
        <v>119990</v>
      </c>
      <c r="C9" s="217">
        <v>14</v>
      </c>
      <c r="D9" s="216">
        <v>8571</v>
      </c>
      <c r="E9" s="218" t="s">
        <v>291</v>
      </c>
      <c r="F9" s="96"/>
      <c r="H9" s="214"/>
      <c r="I9" s="213"/>
      <c r="J9" s="224"/>
    </row>
    <row r="10" spans="1:10">
      <c r="A10" s="222">
        <v>2011</v>
      </c>
      <c r="B10" s="214">
        <v>113432</v>
      </c>
      <c r="C10" s="217">
        <v>15</v>
      </c>
      <c r="D10" s="216">
        <v>7562</v>
      </c>
      <c r="E10" s="218" t="s">
        <v>291</v>
      </c>
      <c r="F10" s="96"/>
    </row>
    <row r="11" spans="1:10">
      <c r="A11" s="222">
        <v>2012</v>
      </c>
      <c r="B11" s="214">
        <v>82549</v>
      </c>
      <c r="C11" s="217">
        <v>22</v>
      </c>
      <c r="D11" s="216">
        <v>3752</v>
      </c>
      <c r="E11" s="219" t="s">
        <v>292</v>
      </c>
      <c r="F11" s="96"/>
    </row>
    <row r="12" spans="1:10">
      <c r="A12" s="222">
        <v>2013</v>
      </c>
      <c r="B12" s="214">
        <v>134472</v>
      </c>
      <c r="C12" s="217">
        <v>19</v>
      </c>
      <c r="D12" s="216">
        <v>7077</v>
      </c>
      <c r="E12" s="219" t="s">
        <v>292</v>
      </c>
      <c r="F12" s="96"/>
    </row>
    <row r="13" spans="1:10">
      <c r="A13" s="222">
        <v>2014</v>
      </c>
      <c r="B13" s="214">
        <v>86815</v>
      </c>
      <c r="C13" s="217">
        <v>19</v>
      </c>
      <c r="D13" s="216">
        <v>4569</v>
      </c>
      <c r="E13" s="219" t="s">
        <v>292</v>
      </c>
      <c r="F13" s="96"/>
    </row>
    <row r="14" spans="1:10">
      <c r="A14" s="222">
        <v>2015</v>
      </c>
      <c r="B14" s="214">
        <v>97250</v>
      </c>
      <c r="C14" s="217">
        <v>20</v>
      </c>
      <c r="D14" s="216">
        <v>4863</v>
      </c>
      <c r="E14" s="219" t="s">
        <v>292</v>
      </c>
      <c r="F14" s="96"/>
    </row>
    <row r="15" spans="1:10">
      <c r="A15" s="222">
        <v>2016</v>
      </c>
      <c r="B15" s="214">
        <v>121068</v>
      </c>
      <c r="C15" s="217">
        <v>20</v>
      </c>
      <c r="D15" s="216">
        <v>6053</v>
      </c>
      <c r="E15" s="219" t="s">
        <v>292</v>
      </c>
      <c r="F15" s="96"/>
    </row>
    <row r="16" spans="1:10">
      <c r="A16" s="222">
        <v>2017</v>
      </c>
      <c r="B16" s="214">
        <v>70025</v>
      </c>
      <c r="C16" s="217">
        <v>19</v>
      </c>
      <c r="D16" s="216">
        <v>3686</v>
      </c>
      <c r="E16" s="219" t="s">
        <v>292</v>
      </c>
      <c r="F16" s="96"/>
    </row>
    <row r="17" spans="1:6">
      <c r="A17" s="222">
        <v>2018</v>
      </c>
      <c r="B17" s="214">
        <v>84151</v>
      </c>
      <c r="C17" s="217">
        <v>19</v>
      </c>
      <c r="D17" s="216">
        <v>4429</v>
      </c>
      <c r="E17" s="219" t="s">
        <v>292</v>
      </c>
      <c r="F17" s="220" t="s">
        <v>293</v>
      </c>
    </row>
    <row r="18" spans="1:6">
      <c r="A18" s="222">
        <v>2019</v>
      </c>
      <c r="B18" s="214">
        <v>161593</v>
      </c>
      <c r="C18" s="217">
        <v>19</v>
      </c>
      <c r="D18" s="216">
        <v>8505</v>
      </c>
      <c r="E18" s="219" t="s">
        <v>292</v>
      </c>
      <c r="F18" s="221"/>
    </row>
    <row r="19" spans="1:6">
      <c r="A19" s="222">
        <v>2020</v>
      </c>
      <c r="B19" s="214">
        <v>6849</v>
      </c>
      <c r="C19" s="217">
        <v>13</v>
      </c>
      <c r="D19" s="216">
        <v>527</v>
      </c>
      <c r="E19" s="219" t="s">
        <v>292</v>
      </c>
      <c r="F19" s="221" t="s">
        <v>294</v>
      </c>
    </row>
    <row r="20" spans="1:6">
      <c r="A20" s="222">
        <v>2021</v>
      </c>
      <c r="B20" s="214">
        <v>24925</v>
      </c>
      <c r="C20" s="217">
        <v>19</v>
      </c>
      <c r="D20" s="216">
        <v>1312</v>
      </c>
      <c r="E20" s="219" t="s">
        <v>292</v>
      </c>
      <c r="F20" s="221" t="s">
        <v>294</v>
      </c>
    </row>
    <row r="21" spans="1:6">
      <c r="A21" s="222">
        <v>2022</v>
      </c>
      <c r="B21" s="214">
        <v>99968</v>
      </c>
      <c r="C21" s="217">
        <v>19</v>
      </c>
      <c r="D21" s="216">
        <v>5261</v>
      </c>
      <c r="E21" s="219" t="s">
        <v>292</v>
      </c>
      <c r="F21" s="96"/>
    </row>
    <row r="22" spans="1:6">
      <c r="A22" s="222">
        <v>2023</v>
      </c>
      <c r="B22" s="214">
        <v>169826</v>
      </c>
      <c r="C22" s="217">
        <v>19</v>
      </c>
      <c r="D22" s="216">
        <v>8938</v>
      </c>
      <c r="E22" s="219" t="s">
        <v>292</v>
      </c>
      <c r="F22" s="96"/>
    </row>
    <row r="23" spans="1:6">
      <c r="A23" s="222">
        <v>2024</v>
      </c>
      <c r="B23" s="214">
        <f>185155+8257</f>
        <v>193412</v>
      </c>
      <c r="C23" s="217">
        <v>18</v>
      </c>
      <c r="D23" s="225">
        <f>B23/C23</f>
        <v>10745.111111111111</v>
      </c>
      <c r="E23" s="219" t="s">
        <v>292</v>
      </c>
      <c r="F23" s="220" t="s">
        <v>295</v>
      </c>
    </row>
    <row r="24" spans="1:6">
      <c r="B24" s="213"/>
    </row>
    <row r="25" spans="1:6">
      <c r="B25" s="223"/>
    </row>
  </sheetData>
  <phoneticPr fontId="3" type="noConversion"/>
  <conditionalFormatting sqref="D3:D23">
    <cfRule type="cellIs" dxfId="52" priority="1" operator="greaterThan">
      <formula>10000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86"/>
  <sheetViews>
    <sheetView topLeftCell="A55" workbookViewId="0">
      <selection activeCell="M17" sqref="M17"/>
    </sheetView>
  </sheetViews>
  <sheetFormatPr defaultRowHeight="17"/>
  <cols>
    <col min="13" max="13" width="8.25" style="452" bestFit="1" customWidth="1"/>
    <col min="14" max="14" width="5.5" style="452" bestFit="1" customWidth="1"/>
    <col min="15" max="17" width="4" style="452" bestFit="1" customWidth="1"/>
    <col min="18" max="18" width="5.5" style="452" bestFit="1" customWidth="1"/>
  </cols>
  <sheetData>
    <row r="1" spans="2:22">
      <c r="B1" s="1" t="s">
        <v>296</v>
      </c>
      <c r="M1" t="s">
        <v>42</v>
      </c>
    </row>
    <row r="2" spans="2:22">
      <c r="B2" s="4" t="s">
        <v>7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8</v>
      </c>
      <c r="J2" s="4" t="s">
        <v>9</v>
      </c>
      <c r="K2" s="4" t="s">
        <v>36</v>
      </c>
      <c r="M2" s="4" t="s">
        <v>7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8</v>
      </c>
      <c r="U2" s="4" t="s">
        <v>9</v>
      </c>
      <c r="V2" s="4" t="s">
        <v>36</v>
      </c>
    </row>
    <row r="3" spans="2:22">
      <c r="B3" s="2" t="s">
        <v>45</v>
      </c>
      <c r="C3" s="2">
        <f>SUM(D3:F3)</f>
        <v>6</v>
      </c>
      <c r="D3" s="5">
        <v>3</v>
      </c>
      <c r="E3" s="6">
        <v>0</v>
      </c>
      <c r="F3" s="7">
        <v>3</v>
      </c>
      <c r="G3" s="8">
        <f>D3*3+E3</f>
        <v>9</v>
      </c>
      <c r="H3" s="9">
        <f>D3/C3</f>
        <v>0.5</v>
      </c>
      <c r="I3" s="2">
        <v>4</v>
      </c>
      <c r="J3" s="2">
        <v>5</v>
      </c>
      <c r="K3" s="2">
        <f>I3-J3</f>
        <v>-1</v>
      </c>
      <c r="M3" s="2" t="s">
        <v>45</v>
      </c>
      <c r="N3" s="2">
        <f>SUM(O3:Q3)</f>
        <v>66</v>
      </c>
      <c r="O3" s="5">
        <f t="shared" ref="O3:Q4" si="0">SUM(D3,D18,D36,D54,D72)</f>
        <v>25</v>
      </c>
      <c r="P3" s="5">
        <f t="shared" si="0"/>
        <v>22</v>
      </c>
      <c r="Q3" s="5">
        <f t="shared" si="0"/>
        <v>19</v>
      </c>
      <c r="R3" s="8">
        <f>O3*3+P3</f>
        <v>97</v>
      </c>
      <c r="S3" s="9">
        <f>O3/N3</f>
        <v>0.37878787878787878</v>
      </c>
      <c r="T3" s="2">
        <f>SUM(I3,I18,I36,I54,I72)</f>
        <v>70</v>
      </c>
      <c r="U3" s="2">
        <f>SUM(J3,J18,J36,J54,J72)</f>
        <v>56</v>
      </c>
      <c r="V3" s="2">
        <f>T3-U3</f>
        <v>14</v>
      </c>
    </row>
    <row r="4" spans="2:22">
      <c r="B4" s="2" t="s">
        <v>49</v>
      </c>
      <c r="C4" s="2">
        <f>SUM(D4:F4)</f>
        <v>7</v>
      </c>
      <c r="D4" s="5">
        <v>4</v>
      </c>
      <c r="E4" s="6">
        <v>1</v>
      </c>
      <c r="F4" s="7">
        <v>2</v>
      </c>
      <c r="G4" s="8">
        <f>D4*3+E4</f>
        <v>13</v>
      </c>
      <c r="H4" s="9">
        <f>D4/C4</f>
        <v>0.5714285714285714</v>
      </c>
      <c r="I4" s="2">
        <v>13</v>
      </c>
      <c r="J4" s="2">
        <v>8</v>
      </c>
      <c r="K4" s="2">
        <f>I4-J4</f>
        <v>5</v>
      </c>
      <c r="M4" s="2" t="s">
        <v>49</v>
      </c>
      <c r="N4" s="2">
        <f>SUM(O4:Q4)</f>
        <v>66</v>
      </c>
      <c r="O4" s="5">
        <f t="shared" si="0"/>
        <v>23</v>
      </c>
      <c r="P4" s="5">
        <f t="shared" si="0"/>
        <v>21</v>
      </c>
      <c r="Q4" s="5">
        <f t="shared" si="0"/>
        <v>22</v>
      </c>
      <c r="R4" s="8">
        <f>O4*3+P4</f>
        <v>90</v>
      </c>
      <c r="S4" s="9">
        <f>O4/N4</f>
        <v>0.34848484848484851</v>
      </c>
      <c r="T4" s="2">
        <f>SUM(I4,I19,I37,I55,I73)</f>
        <v>85</v>
      </c>
      <c r="U4" s="2">
        <f>SUM(J4,J19,J37,J55,J73)</f>
        <v>92</v>
      </c>
      <c r="V4" s="2">
        <f>T4-U4</f>
        <v>-7</v>
      </c>
    </row>
    <row r="5" spans="2:22">
      <c r="B5" s="13" t="s">
        <v>60</v>
      </c>
      <c r="C5" s="13">
        <f>SUM(C3:C4)</f>
        <v>13</v>
      </c>
      <c r="D5" s="13">
        <f>SUM(D3:D4)</f>
        <v>7</v>
      </c>
      <c r="E5" s="13">
        <f>SUM(E3:E4)</f>
        <v>1</v>
      </c>
      <c r="F5" s="13">
        <f>SUM(F3:F4)</f>
        <v>5</v>
      </c>
      <c r="G5" s="13">
        <f>SUM(G3:G4)</f>
        <v>22</v>
      </c>
      <c r="H5" s="14">
        <f>D5/C5</f>
        <v>0.53846153846153844</v>
      </c>
      <c r="I5" s="13">
        <f>SUM(I3:I4)</f>
        <v>17</v>
      </c>
      <c r="J5" s="13">
        <f>SUM(J3:J4)</f>
        <v>13</v>
      </c>
      <c r="K5" s="13">
        <f>SUM(K3:K4)</f>
        <v>4</v>
      </c>
      <c r="M5" s="13" t="s">
        <v>60</v>
      </c>
      <c r="N5" s="13">
        <f>SUM(N3:N4)</f>
        <v>132</v>
      </c>
      <c r="O5" s="13">
        <f>SUM(O3:O4)</f>
        <v>48</v>
      </c>
      <c r="P5" s="13">
        <f>SUM(P3:P4)</f>
        <v>43</v>
      </c>
      <c r="Q5" s="13">
        <f>SUM(Q3:Q4)</f>
        <v>41</v>
      </c>
      <c r="R5" s="13">
        <f>SUM(R3:R4)</f>
        <v>187</v>
      </c>
      <c r="S5" s="14">
        <f>O5/N5</f>
        <v>0.36363636363636365</v>
      </c>
      <c r="T5" s="13">
        <f>SUM(T3:T4)</f>
        <v>155</v>
      </c>
      <c r="U5" s="13">
        <f>SUM(U3:U4)</f>
        <v>148</v>
      </c>
      <c r="V5" s="13">
        <f>SUM(V3:V4)</f>
        <v>7</v>
      </c>
    </row>
    <row r="6" spans="2:22">
      <c r="B6" s="4" t="s">
        <v>66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8</v>
      </c>
      <c r="J6" s="4" t="s">
        <v>9</v>
      </c>
      <c r="K6" s="4" t="s">
        <v>36</v>
      </c>
    </row>
    <row r="7" spans="2:22">
      <c r="B7" s="2" t="s">
        <v>55</v>
      </c>
      <c r="C7" s="2">
        <v>1</v>
      </c>
      <c r="D7" s="5">
        <v>0</v>
      </c>
      <c r="E7" s="6">
        <v>0</v>
      </c>
      <c r="F7" s="7">
        <v>1</v>
      </c>
      <c r="G7" s="8">
        <v>0</v>
      </c>
      <c r="H7" s="9">
        <f t="shared" ref="H7:H14" si="1">D7/C7</f>
        <v>0</v>
      </c>
      <c r="I7" s="2">
        <v>0</v>
      </c>
      <c r="J7" s="2">
        <v>1</v>
      </c>
      <c r="K7" s="2">
        <f t="shared" ref="K7:K14" si="2">I7-J7</f>
        <v>-1</v>
      </c>
    </row>
    <row r="8" spans="2:22">
      <c r="B8" s="2" t="s">
        <v>265</v>
      </c>
      <c r="C8" s="2">
        <v>1</v>
      </c>
      <c r="D8" s="5">
        <v>1</v>
      </c>
      <c r="E8" s="6">
        <v>0</v>
      </c>
      <c r="F8" s="7">
        <v>0</v>
      </c>
      <c r="G8" s="8">
        <v>3</v>
      </c>
      <c r="H8" s="9">
        <f t="shared" si="1"/>
        <v>1</v>
      </c>
      <c r="I8" s="2">
        <v>1</v>
      </c>
      <c r="J8" s="2">
        <v>0</v>
      </c>
      <c r="K8" s="2">
        <f t="shared" si="2"/>
        <v>1</v>
      </c>
    </row>
    <row r="9" spans="2:22">
      <c r="B9" s="2" t="s">
        <v>149</v>
      </c>
      <c r="C9" s="2">
        <v>2</v>
      </c>
      <c r="D9" s="5">
        <v>1</v>
      </c>
      <c r="E9" s="6">
        <v>1</v>
      </c>
      <c r="F9" s="7">
        <v>0</v>
      </c>
      <c r="G9" s="8">
        <v>4</v>
      </c>
      <c r="H9" s="9">
        <f t="shared" si="1"/>
        <v>0.5</v>
      </c>
      <c r="I9" s="2">
        <v>2</v>
      </c>
      <c r="J9" s="2">
        <v>1</v>
      </c>
      <c r="K9" s="2">
        <f t="shared" si="2"/>
        <v>1</v>
      </c>
    </row>
    <row r="10" spans="2:22">
      <c r="B10" s="2" t="s">
        <v>142</v>
      </c>
      <c r="C10" s="2">
        <v>2</v>
      </c>
      <c r="D10" s="5">
        <v>1</v>
      </c>
      <c r="E10" s="6">
        <v>0</v>
      </c>
      <c r="F10" s="7">
        <v>1</v>
      </c>
      <c r="G10" s="8">
        <v>3</v>
      </c>
      <c r="H10" s="9">
        <f t="shared" si="1"/>
        <v>0.5</v>
      </c>
      <c r="I10" s="2">
        <v>1</v>
      </c>
      <c r="J10" s="2">
        <v>1</v>
      </c>
      <c r="K10" s="2">
        <f t="shared" si="2"/>
        <v>0</v>
      </c>
    </row>
    <row r="11" spans="2:22">
      <c r="B11" s="2" t="s">
        <v>44</v>
      </c>
      <c r="C11" s="2">
        <v>2</v>
      </c>
      <c r="D11" s="5">
        <v>2</v>
      </c>
      <c r="E11" s="6">
        <v>0</v>
      </c>
      <c r="F11" s="7">
        <v>0</v>
      </c>
      <c r="G11" s="8">
        <v>6</v>
      </c>
      <c r="H11" s="9">
        <f t="shared" si="1"/>
        <v>1</v>
      </c>
      <c r="I11" s="2">
        <v>2</v>
      </c>
      <c r="J11" s="2">
        <v>0</v>
      </c>
      <c r="K11" s="2">
        <f t="shared" si="2"/>
        <v>2</v>
      </c>
    </row>
    <row r="12" spans="2:22">
      <c r="B12" s="2" t="s">
        <v>145</v>
      </c>
      <c r="C12" s="2">
        <v>2</v>
      </c>
      <c r="D12" s="5">
        <v>1</v>
      </c>
      <c r="E12" s="6">
        <v>0</v>
      </c>
      <c r="F12" s="7">
        <v>1</v>
      </c>
      <c r="G12" s="8">
        <v>3</v>
      </c>
      <c r="H12" s="9">
        <f t="shared" si="1"/>
        <v>0.5</v>
      </c>
      <c r="I12" s="2">
        <v>6</v>
      </c>
      <c r="J12" s="2">
        <v>2</v>
      </c>
      <c r="K12" s="2">
        <f t="shared" si="2"/>
        <v>4</v>
      </c>
    </row>
    <row r="13" spans="2:22">
      <c r="B13" s="2" t="s">
        <v>71</v>
      </c>
      <c r="C13" s="2">
        <v>2</v>
      </c>
      <c r="D13" s="5">
        <v>1</v>
      </c>
      <c r="E13" s="6">
        <v>0</v>
      </c>
      <c r="F13" s="7">
        <v>1</v>
      </c>
      <c r="G13" s="8">
        <v>3</v>
      </c>
      <c r="H13" s="9">
        <f t="shared" si="1"/>
        <v>0.5</v>
      </c>
      <c r="I13" s="2">
        <v>4</v>
      </c>
      <c r="J13" s="2">
        <v>5</v>
      </c>
      <c r="K13" s="2">
        <f t="shared" si="2"/>
        <v>-1</v>
      </c>
    </row>
    <row r="14" spans="2:22">
      <c r="B14" s="2" t="s">
        <v>297</v>
      </c>
      <c r="C14" s="2">
        <v>1</v>
      </c>
      <c r="D14" s="5">
        <v>0</v>
      </c>
      <c r="E14" s="6">
        <v>0</v>
      </c>
      <c r="F14" s="7">
        <v>1</v>
      </c>
      <c r="G14" s="8">
        <v>0</v>
      </c>
      <c r="H14" s="9">
        <f t="shared" si="1"/>
        <v>0</v>
      </c>
      <c r="I14" s="2">
        <v>1</v>
      </c>
      <c r="J14" s="2">
        <v>3</v>
      </c>
      <c r="K14" s="2">
        <f t="shared" si="2"/>
        <v>-2</v>
      </c>
    </row>
    <row r="16" spans="2:22">
      <c r="B16" s="1" t="s">
        <v>298</v>
      </c>
    </row>
    <row r="17" spans="2:11">
      <c r="B17" s="4" t="s">
        <v>7</v>
      </c>
      <c r="C17" s="4" t="s">
        <v>30</v>
      </c>
      <c r="D17" s="4" t="s">
        <v>31</v>
      </c>
      <c r="E17" s="4" t="s">
        <v>32</v>
      </c>
      <c r="F17" s="4" t="s">
        <v>33</v>
      </c>
      <c r="G17" s="4" t="s">
        <v>34</v>
      </c>
      <c r="H17" s="4" t="s">
        <v>35</v>
      </c>
      <c r="I17" s="4" t="s">
        <v>8</v>
      </c>
      <c r="J17" s="4" t="s">
        <v>9</v>
      </c>
      <c r="K17" s="4" t="s">
        <v>36</v>
      </c>
    </row>
    <row r="18" spans="2:11">
      <c r="B18" s="2" t="s">
        <v>45</v>
      </c>
      <c r="C18" s="2">
        <v>19</v>
      </c>
      <c r="D18" s="5">
        <v>7</v>
      </c>
      <c r="E18" s="6">
        <v>6</v>
      </c>
      <c r="F18" s="7">
        <v>6</v>
      </c>
      <c r="G18" s="8">
        <v>27</v>
      </c>
      <c r="H18" s="9">
        <v>0.36842105263157893</v>
      </c>
      <c r="I18" s="2">
        <v>17</v>
      </c>
      <c r="J18" s="2">
        <v>14</v>
      </c>
      <c r="K18" s="2">
        <v>3</v>
      </c>
    </row>
    <row r="19" spans="2:11">
      <c r="B19" s="2" t="s">
        <v>49</v>
      </c>
      <c r="C19" s="2">
        <v>19</v>
      </c>
      <c r="D19" s="5">
        <v>5</v>
      </c>
      <c r="E19" s="6">
        <v>5</v>
      </c>
      <c r="F19" s="7">
        <v>9</v>
      </c>
      <c r="G19" s="8">
        <v>20</v>
      </c>
      <c r="H19" s="17">
        <v>0.26315789473684209</v>
      </c>
      <c r="I19" s="2">
        <v>21</v>
      </c>
      <c r="J19" s="2">
        <v>31</v>
      </c>
      <c r="K19" s="2">
        <v>-10</v>
      </c>
    </row>
    <row r="20" spans="2:11">
      <c r="B20" s="13" t="s">
        <v>60</v>
      </c>
      <c r="C20" s="13">
        <v>38</v>
      </c>
      <c r="D20" s="13">
        <v>12</v>
      </c>
      <c r="E20" s="13">
        <v>11</v>
      </c>
      <c r="F20" s="13">
        <v>15</v>
      </c>
      <c r="G20" s="13">
        <v>47</v>
      </c>
      <c r="H20" s="14">
        <v>0.31578947368421051</v>
      </c>
      <c r="I20" s="13">
        <v>38</v>
      </c>
      <c r="J20" s="13">
        <v>45</v>
      </c>
      <c r="K20" s="13">
        <v>-7</v>
      </c>
    </row>
    <row r="21" spans="2:11">
      <c r="B21" s="4" t="s">
        <v>66</v>
      </c>
      <c r="C21" s="4" t="s">
        <v>30</v>
      </c>
      <c r="D21" s="4" t="s">
        <v>31</v>
      </c>
      <c r="E21" s="4" t="s">
        <v>32</v>
      </c>
      <c r="F21" s="4" t="s">
        <v>33</v>
      </c>
      <c r="G21" s="4" t="s">
        <v>34</v>
      </c>
      <c r="H21" s="4" t="s">
        <v>35</v>
      </c>
      <c r="I21" s="4" t="s">
        <v>8</v>
      </c>
      <c r="J21" s="4" t="s">
        <v>9</v>
      </c>
      <c r="K21" s="4" t="s">
        <v>36</v>
      </c>
    </row>
    <row r="22" spans="2:11">
      <c r="B22" s="2" t="s">
        <v>67</v>
      </c>
      <c r="C22" s="2">
        <v>3</v>
      </c>
      <c r="D22" s="5">
        <v>0</v>
      </c>
      <c r="E22" s="6">
        <v>1</v>
      </c>
      <c r="F22" s="7">
        <v>2</v>
      </c>
      <c r="G22" s="8">
        <v>1</v>
      </c>
      <c r="H22" s="9">
        <v>0</v>
      </c>
      <c r="I22" s="2">
        <v>1</v>
      </c>
      <c r="J22" s="2">
        <v>8</v>
      </c>
      <c r="K22" s="2">
        <v>-7</v>
      </c>
    </row>
    <row r="23" spans="2:11">
      <c r="B23" s="2" t="s">
        <v>55</v>
      </c>
      <c r="C23" s="2">
        <v>3</v>
      </c>
      <c r="D23" s="5">
        <v>0</v>
      </c>
      <c r="E23" s="6">
        <v>1</v>
      </c>
      <c r="F23" s="7">
        <v>2</v>
      </c>
      <c r="G23" s="8">
        <v>1</v>
      </c>
      <c r="H23" s="17">
        <v>0</v>
      </c>
      <c r="I23" s="2">
        <v>3</v>
      </c>
      <c r="J23" s="2">
        <v>6</v>
      </c>
      <c r="K23" s="2">
        <v>-3</v>
      </c>
    </row>
    <row r="24" spans="2:11">
      <c r="B24" s="2" t="s">
        <v>265</v>
      </c>
      <c r="C24" s="2">
        <v>3</v>
      </c>
      <c r="D24" s="5">
        <v>2</v>
      </c>
      <c r="E24" s="6">
        <v>0</v>
      </c>
      <c r="F24" s="7">
        <v>1</v>
      </c>
      <c r="G24" s="8">
        <v>6</v>
      </c>
      <c r="H24" s="17">
        <v>0.66666666666666663</v>
      </c>
      <c r="I24" s="2">
        <v>4</v>
      </c>
      <c r="J24" s="2">
        <v>4</v>
      </c>
      <c r="K24" s="2">
        <v>0</v>
      </c>
    </row>
    <row r="25" spans="2:11">
      <c r="B25" s="2" t="s">
        <v>77</v>
      </c>
      <c r="C25" s="2">
        <v>3</v>
      </c>
      <c r="D25" s="5">
        <v>1</v>
      </c>
      <c r="E25" s="6">
        <v>0</v>
      </c>
      <c r="F25" s="7">
        <v>2</v>
      </c>
      <c r="G25" s="8">
        <v>3</v>
      </c>
      <c r="H25" s="17">
        <v>0.33333333333333331</v>
      </c>
      <c r="I25" s="2">
        <v>5</v>
      </c>
      <c r="J25" s="2">
        <v>6</v>
      </c>
      <c r="K25" s="2">
        <v>-1</v>
      </c>
    </row>
    <row r="26" spans="2:11">
      <c r="B26" s="2" t="s">
        <v>246</v>
      </c>
      <c r="C26" s="2">
        <v>3</v>
      </c>
      <c r="D26" s="5">
        <v>1</v>
      </c>
      <c r="E26" s="6">
        <v>2</v>
      </c>
      <c r="F26" s="7">
        <v>0</v>
      </c>
      <c r="G26" s="8">
        <v>5</v>
      </c>
      <c r="H26" s="17">
        <v>0.33333333333333331</v>
      </c>
      <c r="I26" s="2">
        <v>6</v>
      </c>
      <c r="J26" s="2">
        <v>3</v>
      </c>
      <c r="K26" s="2">
        <v>3</v>
      </c>
    </row>
    <row r="27" spans="2:11">
      <c r="B27" s="2" t="s">
        <v>142</v>
      </c>
      <c r="C27" s="2">
        <v>3</v>
      </c>
      <c r="D27" s="5">
        <v>1</v>
      </c>
      <c r="E27" s="6">
        <v>1</v>
      </c>
      <c r="F27" s="7">
        <v>1</v>
      </c>
      <c r="G27" s="8">
        <v>4</v>
      </c>
      <c r="H27" s="17">
        <v>0.33333333333333331</v>
      </c>
      <c r="I27" s="2">
        <v>2</v>
      </c>
      <c r="J27" s="2">
        <v>2</v>
      </c>
      <c r="K27" s="2">
        <v>0</v>
      </c>
    </row>
    <row r="28" spans="2:11">
      <c r="B28" s="2" t="s">
        <v>57</v>
      </c>
      <c r="C28" s="2">
        <v>4</v>
      </c>
      <c r="D28" s="5">
        <v>1</v>
      </c>
      <c r="E28" s="6">
        <v>2</v>
      </c>
      <c r="F28" s="7">
        <v>1</v>
      </c>
      <c r="G28" s="8">
        <v>5</v>
      </c>
      <c r="H28" s="17">
        <v>0.25</v>
      </c>
      <c r="I28" s="2">
        <v>3</v>
      </c>
      <c r="J28" s="2">
        <v>3</v>
      </c>
      <c r="K28" s="2">
        <v>0</v>
      </c>
    </row>
    <row r="29" spans="2:11">
      <c r="B29" s="2" t="s">
        <v>44</v>
      </c>
      <c r="C29" s="2">
        <v>4</v>
      </c>
      <c r="D29" s="5">
        <v>2</v>
      </c>
      <c r="E29" s="6">
        <v>1</v>
      </c>
      <c r="F29" s="7">
        <v>1</v>
      </c>
      <c r="G29" s="8">
        <v>7</v>
      </c>
      <c r="H29" s="17">
        <v>0.5</v>
      </c>
      <c r="I29" s="2">
        <v>3</v>
      </c>
      <c r="J29" s="2">
        <v>1</v>
      </c>
      <c r="K29" s="2">
        <v>2</v>
      </c>
    </row>
    <row r="30" spans="2:11">
      <c r="B30" s="2" t="s">
        <v>145</v>
      </c>
      <c r="C30" s="2">
        <v>4</v>
      </c>
      <c r="D30" s="5">
        <v>2</v>
      </c>
      <c r="E30" s="6">
        <v>1</v>
      </c>
      <c r="F30" s="7">
        <v>1</v>
      </c>
      <c r="G30" s="8">
        <v>7</v>
      </c>
      <c r="H30" s="17">
        <v>0.5</v>
      </c>
      <c r="I30" s="2">
        <v>5</v>
      </c>
      <c r="J30" s="2">
        <v>3</v>
      </c>
      <c r="K30" s="2">
        <v>2</v>
      </c>
    </row>
    <row r="31" spans="2:11">
      <c r="B31" s="2" t="s">
        <v>71</v>
      </c>
      <c r="C31" s="2">
        <v>4</v>
      </c>
      <c r="D31" s="5">
        <v>1</v>
      </c>
      <c r="E31" s="6">
        <v>1</v>
      </c>
      <c r="F31" s="7">
        <v>2</v>
      </c>
      <c r="G31" s="8">
        <v>4</v>
      </c>
      <c r="H31" s="17">
        <v>0.25</v>
      </c>
      <c r="I31" s="2">
        <v>2</v>
      </c>
      <c r="J31" s="2">
        <v>4</v>
      </c>
      <c r="K31" s="2">
        <v>-2</v>
      </c>
    </row>
    <row r="32" spans="2:11">
      <c r="B32" s="2" t="s">
        <v>48</v>
      </c>
      <c r="C32" s="2">
        <v>4</v>
      </c>
      <c r="D32" s="5">
        <v>1</v>
      </c>
      <c r="E32" s="6">
        <v>1</v>
      </c>
      <c r="F32" s="7">
        <v>2</v>
      </c>
      <c r="G32" s="8">
        <v>4</v>
      </c>
      <c r="H32" s="17">
        <v>0.25</v>
      </c>
      <c r="I32" s="2">
        <v>4</v>
      </c>
      <c r="J32" s="2">
        <v>5</v>
      </c>
      <c r="K32" s="2">
        <v>-1</v>
      </c>
    </row>
    <row r="34" spans="2:11">
      <c r="B34" s="1" t="s">
        <v>299</v>
      </c>
    </row>
    <row r="35" spans="2:11">
      <c r="B35" s="4" t="s">
        <v>7</v>
      </c>
      <c r="C35" s="4" t="s">
        <v>30</v>
      </c>
      <c r="D35" s="4" t="s">
        <v>31</v>
      </c>
      <c r="E35" s="4" t="s">
        <v>32</v>
      </c>
      <c r="F35" s="4" t="s">
        <v>33</v>
      </c>
      <c r="G35" s="4" t="s">
        <v>34</v>
      </c>
      <c r="H35" s="4" t="s">
        <v>35</v>
      </c>
      <c r="I35" s="4" t="s">
        <v>8</v>
      </c>
      <c r="J35" s="4" t="s">
        <v>9</v>
      </c>
      <c r="K35" s="4" t="s">
        <v>36</v>
      </c>
    </row>
    <row r="36" spans="2:11">
      <c r="B36" s="2" t="s">
        <v>45</v>
      </c>
      <c r="C36" s="2">
        <v>20</v>
      </c>
      <c r="D36" s="5">
        <v>7</v>
      </c>
      <c r="E36" s="6">
        <v>8</v>
      </c>
      <c r="F36" s="7">
        <v>5</v>
      </c>
      <c r="G36" s="26">
        <v>29</v>
      </c>
      <c r="H36" s="10">
        <v>0.35</v>
      </c>
      <c r="I36" s="2">
        <v>23</v>
      </c>
      <c r="J36" s="2">
        <v>18</v>
      </c>
      <c r="K36" s="2">
        <v>5</v>
      </c>
    </row>
    <row r="37" spans="2:11">
      <c r="B37" s="2" t="s">
        <v>49</v>
      </c>
      <c r="C37" s="2">
        <v>18</v>
      </c>
      <c r="D37" s="5">
        <v>6</v>
      </c>
      <c r="E37" s="6">
        <v>7</v>
      </c>
      <c r="F37" s="7">
        <v>5</v>
      </c>
      <c r="G37" s="26">
        <v>25</v>
      </c>
      <c r="H37" s="23">
        <v>0.33333333333333331</v>
      </c>
      <c r="I37" s="2">
        <v>23</v>
      </c>
      <c r="J37" s="2">
        <v>24</v>
      </c>
      <c r="K37" s="2">
        <v>-1</v>
      </c>
    </row>
    <row r="38" spans="2:11">
      <c r="B38" s="13" t="s">
        <v>60</v>
      </c>
      <c r="C38" s="13">
        <v>38</v>
      </c>
      <c r="D38" s="13">
        <v>13</v>
      </c>
      <c r="E38" s="13">
        <v>15</v>
      </c>
      <c r="F38" s="13">
        <v>10</v>
      </c>
      <c r="G38" s="13">
        <v>54</v>
      </c>
      <c r="H38" s="14">
        <v>0.34210526315789469</v>
      </c>
      <c r="I38" s="13">
        <v>46</v>
      </c>
      <c r="J38" s="13">
        <v>42</v>
      </c>
      <c r="K38" s="13">
        <v>4</v>
      </c>
    </row>
    <row r="39" spans="2:11">
      <c r="B39" s="4" t="s">
        <v>66</v>
      </c>
      <c r="C39" s="4" t="s">
        <v>30</v>
      </c>
      <c r="D39" s="4" t="s">
        <v>31</v>
      </c>
      <c r="E39" s="4" t="s">
        <v>32</v>
      </c>
      <c r="F39" s="4" t="s">
        <v>33</v>
      </c>
      <c r="G39" s="4" t="s">
        <v>34</v>
      </c>
      <c r="H39" s="4" t="s">
        <v>35</v>
      </c>
      <c r="I39" s="4" t="s">
        <v>8</v>
      </c>
      <c r="J39" s="4" t="s">
        <v>9</v>
      </c>
      <c r="K39" s="4" t="s">
        <v>36</v>
      </c>
    </row>
    <row r="40" spans="2:11">
      <c r="B40" s="2" t="s">
        <v>67</v>
      </c>
      <c r="C40" s="2">
        <v>4</v>
      </c>
      <c r="D40" s="5">
        <v>1</v>
      </c>
      <c r="E40" s="6">
        <v>1</v>
      </c>
      <c r="F40" s="7">
        <v>2</v>
      </c>
      <c r="G40" s="26">
        <v>4</v>
      </c>
      <c r="H40" s="23">
        <v>0.25</v>
      </c>
      <c r="I40" s="2">
        <v>6</v>
      </c>
      <c r="J40" s="2">
        <v>6</v>
      </c>
      <c r="K40" s="2">
        <v>0</v>
      </c>
    </row>
    <row r="41" spans="2:11">
      <c r="B41" s="2" t="s">
        <v>55</v>
      </c>
      <c r="C41" s="2">
        <v>4</v>
      </c>
      <c r="D41" s="5">
        <v>0</v>
      </c>
      <c r="E41" s="6">
        <v>3</v>
      </c>
      <c r="F41" s="7">
        <v>1</v>
      </c>
      <c r="G41" s="26">
        <v>3</v>
      </c>
      <c r="H41" s="23">
        <v>0</v>
      </c>
      <c r="I41" s="2">
        <v>3</v>
      </c>
      <c r="J41" s="2">
        <v>6</v>
      </c>
      <c r="K41" s="2">
        <v>-3</v>
      </c>
    </row>
    <row r="42" spans="2:11">
      <c r="B42" s="2" t="s">
        <v>57</v>
      </c>
      <c r="C42" s="2">
        <v>4</v>
      </c>
      <c r="D42" s="5">
        <v>0</v>
      </c>
      <c r="E42" s="6">
        <v>2</v>
      </c>
      <c r="F42" s="7">
        <v>2</v>
      </c>
      <c r="G42" s="26">
        <v>2</v>
      </c>
      <c r="H42" s="23">
        <v>0</v>
      </c>
      <c r="I42" s="2">
        <v>2</v>
      </c>
      <c r="J42" s="2">
        <v>5</v>
      </c>
      <c r="K42" s="2">
        <v>-3</v>
      </c>
    </row>
    <row r="43" spans="2:11">
      <c r="B43" s="2" t="s">
        <v>77</v>
      </c>
      <c r="C43" s="2">
        <v>4</v>
      </c>
      <c r="D43" s="5">
        <v>2</v>
      </c>
      <c r="E43" s="6">
        <v>1</v>
      </c>
      <c r="F43" s="7">
        <v>1</v>
      </c>
      <c r="G43" s="26">
        <v>7</v>
      </c>
      <c r="H43" s="23">
        <v>0.5</v>
      </c>
      <c r="I43" s="2">
        <v>7</v>
      </c>
      <c r="J43" s="2">
        <v>5</v>
      </c>
      <c r="K43" s="2">
        <v>2</v>
      </c>
    </row>
    <row r="44" spans="2:11">
      <c r="B44" s="2" t="s">
        <v>71</v>
      </c>
      <c r="C44" s="2">
        <v>4</v>
      </c>
      <c r="D44" s="5">
        <v>2</v>
      </c>
      <c r="E44" s="6">
        <v>1</v>
      </c>
      <c r="F44" s="7">
        <v>1</v>
      </c>
      <c r="G44" s="26">
        <v>7</v>
      </c>
      <c r="H44" s="23">
        <v>0.5</v>
      </c>
      <c r="I44" s="2">
        <v>5</v>
      </c>
      <c r="J44" s="2">
        <v>2</v>
      </c>
      <c r="K44" s="2">
        <v>3</v>
      </c>
    </row>
    <row r="45" spans="2:11">
      <c r="B45" s="2" t="s">
        <v>246</v>
      </c>
      <c r="C45" s="2">
        <v>3</v>
      </c>
      <c r="D45" s="5">
        <v>0</v>
      </c>
      <c r="E45" s="6">
        <v>2</v>
      </c>
      <c r="F45" s="7">
        <v>1</v>
      </c>
      <c r="G45" s="26">
        <v>2</v>
      </c>
      <c r="H45" s="23">
        <v>0</v>
      </c>
      <c r="I45" s="2">
        <v>3</v>
      </c>
      <c r="J45" s="2">
        <v>4</v>
      </c>
      <c r="K45" s="2">
        <v>-1</v>
      </c>
    </row>
    <row r="46" spans="2:11">
      <c r="B46" s="2" t="s">
        <v>44</v>
      </c>
      <c r="C46" s="2">
        <v>3</v>
      </c>
      <c r="D46" s="5">
        <v>1</v>
      </c>
      <c r="E46" s="6">
        <v>2</v>
      </c>
      <c r="F46" s="7">
        <v>0</v>
      </c>
      <c r="G46" s="26">
        <v>5</v>
      </c>
      <c r="H46" s="23">
        <v>0.33333333333333331</v>
      </c>
      <c r="I46" s="2">
        <v>4</v>
      </c>
      <c r="J46" s="2">
        <v>2</v>
      </c>
      <c r="K46" s="2">
        <v>2</v>
      </c>
    </row>
    <row r="47" spans="2:11">
      <c r="B47" s="2" t="s">
        <v>265</v>
      </c>
      <c r="C47" s="2">
        <v>3</v>
      </c>
      <c r="D47" s="5">
        <v>2</v>
      </c>
      <c r="E47" s="6">
        <v>1</v>
      </c>
      <c r="F47" s="7">
        <v>0</v>
      </c>
      <c r="G47" s="26">
        <v>7</v>
      </c>
      <c r="H47" s="23">
        <v>0.66666666666666663</v>
      </c>
      <c r="I47" s="2">
        <v>7</v>
      </c>
      <c r="J47" s="2">
        <v>5</v>
      </c>
      <c r="K47" s="2">
        <v>2</v>
      </c>
    </row>
    <row r="48" spans="2:11">
      <c r="B48" s="2" t="s">
        <v>142</v>
      </c>
      <c r="C48" s="2">
        <v>3</v>
      </c>
      <c r="D48" s="5">
        <v>1</v>
      </c>
      <c r="E48" s="6">
        <v>2</v>
      </c>
      <c r="F48" s="7">
        <v>0</v>
      </c>
      <c r="G48" s="26">
        <v>5</v>
      </c>
      <c r="H48" s="23">
        <v>0.33333333333333331</v>
      </c>
      <c r="I48" s="2">
        <v>4</v>
      </c>
      <c r="J48" s="2">
        <v>3</v>
      </c>
      <c r="K48" s="2">
        <v>1</v>
      </c>
    </row>
    <row r="49" spans="2:11">
      <c r="B49" s="2" t="s">
        <v>72</v>
      </c>
      <c r="C49" s="2">
        <v>3</v>
      </c>
      <c r="D49" s="5">
        <v>2</v>
      </c>
      <c r="E49" s="6">
        <v>0</v>
      </c>
      <c r="F49" s="7">
        <v>1</v>
      </c>
      <c r="G49" s="26">
        <v>6</v>
      </c>
      <c r="H49" s="23">
        <v>0.66666666666666663</v>
      </c>
      <c r="I49" s="2">
        <v>2</v>
      </c>
      <c r="J49" s="2">
        <v>1</v>
      </c>
      <c r="K49" s="2">
        <v>1</v>
      </c>
    </row>
    <row r="50" spans="2:11">
      <c r="B50" s="2" t="s">
        <v>145</v>
      </c>
      <c r="C50" s="2">
        <v>3</v>
      </c>
      <c r="D50" s="5">
        <v>2</v>
      </c>
      <c r="E50" s="6">
        <v>0</v>
      </c>
      <c r="F50" s="7">
        <v>1</v>
      </c>
      <c r="G50" s="26">
        <v>6</v>
      </c>
      <c r="H50" s="23">
        <v>0.66666666666666663</v>
      </c>
      <c r="I50" s="2">
        <v>3</v>
      </c>
      <c r="J50" s="2">
        <v>3</v>
      </c>
      <c r="K50" s="2">
        <v>0</v>
      </c>
    </row>
    <row r="52" spans="2:11">
      <c r="B52" s="1" t="s">
        <v>286</v>
      </c>
    </row>
    <row r="53" spans="2:11">
      <c r="B53" s="4" t="s">
        <v>7</v>
      </c>
      <c r="C53" s="4" t="s">
        <v>30</v>
      </c>
      <c r="D53" s="4" t="s">
        <v>31</v>
      </c>
      <c r="E53" s="4" t="s">
        <v>32</v>
      </c>
      <c r="F53" s="4" t="s">
        <v>33</v>
      </c>
      <c r="G53" s="4" t="s">
        <v>34</v>
      </c>
      <c r="H53" s="4" t="s">
        <v>35</v>
      </c>
      <c r="I53" s="4" t="s">
        <v>8</v>
      </c>
      <c r="J53" s="4" t="s">
        <v>9</v>
      </c>
      <c r="K53" s="4" t="s">
        <v>36</v>
      </c>
    </row>
    <row r="54" spans="2:11">
      <c r="B54" s="2" t="s">
        <v>45</v>
      </c>
      <c r="C54" s="2">
        <v>19</v>
      </c>
      <c r="D54" s="5">
        <v>7</v>
      </c>
      <c r="E54" s="6">
        <v>8</v>
      </c>
      <c r="F54" s="7">
        <v>4</v>
      </c>
      <c r="G54" s="26">
        <v>29</v>
      </c>
      <c r="H54" s="10">
        <v>0.36842105263157893</v>
      </c>
      <c r="I54" s="2">
        <v>24</v>
      </c>
      <c r="J54" s="2">
        <v>18</v>
      </c>
      <c r="K54" s="2">
        <v>6</v>
      </c>
    </row>
    <row r="55" spans="2:11">
      <c r="B55" s="2" t="s">
        <v>49</v>
      </c>
      <c r="C55" s="2">
        <v>19</v>
      </c>
      <c r="D55" s="5">
        <v>7</v>
      </c>
      <c r="E55" s="6">
        <v>6</v>
      </c>
      <c r="F55" s="7">
        <v>6</v>
      </c>
      <c r="G55" s="26">
        <v>27</v>
      </c>
      <c r="H55" s="23">
        <v>0.36842105263157893</v>
      </c>
      <c r="I55" s="2">
        <v>22</v>
      </c>
      <c r="J55" s="2">
        <v>24</v>
      </c>
      <c r="K55" s="2">
        <v>-2</v>
      </c>
    </row>
    <row r="56" spans="2:11">
      <c r="B56" s="13" t="s">
        <v>60</v>
      </c>
      <c r="C56" s="13">
        <v>38</v>
      </c>
      <c r="D56" s="13">
        <v>14</v>
      </c>
      <c r="E56" s="13">
        <v>14</v>
      </c>
      <c r="F56" s="13">
        <v>10</v>
      </c>
      <c r="G56" s="13">
        <v>56</v>
      </c>
      <c r="H56" s="14">
        <v>0.36842105263157893</v>
      </c>
      <c r="I56" s="13">
        <v>46</v>
      </c>
      <c r="J56" s="13">
        <v>42</v>
      </c>
      <c r="K56" s="13">
        <v>4</v>
      </c>
    </row>
    <row r="57" spans="2:11">
      <c r="B57" s="4" t="s">
        <v>66</v>
      </c>
      <c r="C57" s="4" t="s">
        <v>30</v>
      </c>
      <c r="D57" s="4" t="s">
        <v>31</v>
      </c>
      <c r="E57" s="4" t="s">
        <v>32</v>
      </c>
      <c r="F57" s="4" t="s">
        <v>33</v>
      </c>
      <c r="G57" s="4" t="s">
        <v>34</v>
      </c>
      <c r="H57" s="4" t="s">
        <v>35</v>
      </c>
      <c r="I57" s="4" t="s">
        <v>8</v>
      </c>
      <c r="J57" s="4" t="s">
        <v>9</v>
      </c>
      <c r="K57" s="4" t="s">
        <v>36</v>
      </c>
    </row>
    <row r="58" spans="2:11">
      <c r="B58" s="2" t="s">
        <v>55</v>
      </c>
      <c r="C58" s="2">
        <v>4</v>
      </c>
      <c r="D58" s="5">
        <v>2</v>
      </c>
      <c r="E58" s="6">
        <v>1</v>
      </c>
      <c r="F58" s="7">
        <v>1</v>
      </c>
      <c r="G58" s="26">
        <v>7</v>
      </c>
      <c r="H58" s="23">
        <v>0.5</v>
      </c>
      <c r="I58" s="2">
        <v>5</v>
      </c>
      <c r="J58" s="2">
        <v>3</v>
      </c>
      <c r="K58" s="2">
        <v>2</v>
      </c>
    </row>
    <row r="59" spans="2:11">
      <c r="B59" s="2" t="s">
        <v>67</v>
      </c>
      <c r="C59" s="2">
        <v>4</v>
      </c>
      <c r="D59" s="5">
        <v>0</v>
      </c>
      <c r="E59" s="6">
        <v>2</v>
      </c>
      <c r="F59" s="7">
        <v>2</v>
      </c>
      <c r="G59" s="26">
        <v>2</v>
      </c>
      <c r="H59" s="23">
        <v>0</v>
      </c>
      <c r="I59" s="2">
        <v>1</v>
      </c>
      <c r="J59" s="2">
        <v>5</v>
      </c>
      <c r="K59" s="2">
        <v>-4</v>
      </c>
    </row>
    <row r="60" spans="2:11">
      <c r="B60" s="2" t="s">
        <v>57</v>
      </c>
      <c r="C60" s="2">
        <v>4</v>
      </c>
      <c r="D60" s="5">
        <v>1</v>
      </c>
      <c r="E60" s="6">
        <v>1</v>
      </c>
      <c r="F60" s="7">
        <v>2</v>
      </c>
      <c r="G60" s="26">
        <v>4</v>
      </c>
      <c r="H60" s="23">
        <v>0.25</v>
      </c>
      <c r="I60" s="2">
        <v>3</v>
      </c>
      <c r="J60" s="2">
        <v>4</v>
      </c>
      <c r="K60" s="2">
        <v>-1</v>
      </c>
    </row>
    <row r="61" spans="2:11">
      <c r="B61" s="2" t="s">
        <v>77</v>
      </c>
      <c r="C61" s="2">
        <v>3</v>
      </c>
      <c r="D61" s="5">
        <v>2</v>
      </c>
      <c r="E61" s="6">
        <v>0</v>
      </c>
      <c r="F61" s="7">
        <v>1</v>
      </c>
      <c r="G61" s="26">
        <v>6</v>
      </c>
      <c r="H61" s="23">
        <v>0.66666666666666663</v>
      </c>
      <c r="I61" s="2">
        <v>3</v>
      </c>
      <c r="J61" s="2">
        <v>3</v>
      </c>
      <c r="K61" s="2">
        <v>0</v>
      </c>
    </row>
    <row r="62" spans="2:11">
      <c r="B62" s="2" t="s">
        <v>71</v>
      </c>
      <c r="C62" s="2">
        <v>3</v>
      </c>
      <c r="D62" s="5">
        <v>2</v>
      </c>
      <c r="E62" s="6">
        <v>1</v>
      </c>
      <c r="F62" s="7">
        <v>0</v>
      </c>
      <c r="G62" s="26">
        <v>7</v>
      </c>
      <c r="H62" s="23">
        <v>0.66666666666666663</v>
      </c>
      <c r="I62" s="2">
        <v>4</v>
      </c>
      <c r="J62" s="2">
        <v>1</v>
      </c>
      <c r="K62" s="2">
        <v>3</v>
      </c>
    </row>
    <row r="63" spans="2:11">
      <c r="B63" s="2" t="s">
        <v>246</v>
      </c>
      <c r="C63" s="2">
        <v>3</v>
      </c>
      <c r="D63" s="5">
        <v>1</v>
      </c>
      <c r="E63" s="6">
        <v>2</v>
      </c>
      <c r="F63" s="7">
        <v>0</v>
      </c>
      <c r="G63" s="26">
        <v>5</v>
      </c>
      <c r="H63" s="23">
        <v>0.33333333333333331</v>
      </c>
      <c r="I63" s="2">
        <v>6</v>
      </c>
      <c r="J63" s="2">
        <v>5</v>
      </c>
      <c r="K63" s="2">
        <v>1</v>
      </c>
    </row>
    <row r="64" spans="2:11">
      <c r="B64" s="2" t="s">
        <v>44</v>
      </c>
      <c r="C64" s="2">
        <v>3</v>
      </c>
      <c r="D64" s="5">
        <v>1</v>
      </c>
      <c r="E64" s="6">
        <v>1</v>
      </c>
      <c r="F64" s="7">
        <v>1</v>
      </c>
      <c r="G64" s="26">
        <v>4</v>
      </c>
      <c r="H64" s="23">
        <v>0.33333333333333331</v>
      </c>
      <c r="I64" s="2">
        <v>3</v>
      </c>
      <c r="J64" s="2">
        <v>3</v>
      </c>
      <c r="K64" s="2">
        <v>0</v>
      </c>
    </row>
    <row r="65" spans="2:11">
      <c r="B65" s="2" t="s">
        <v>265</v>
      </c>
      <c r="C65" s="2">
        <v>4</v>
      </c>
      <c r="D65" s="5">
        <v>1</v>
      </c>
      <c r="E65" s="6">
        <v>2</v>
      </c>
      <c r="F65" s="7">
        <v>1</v>
      </c>
      <c r="G65" s="26">
        <v>5</v>
      </c>
      <c r="H65" s="23">
        <v>0.25</v>
      </c>
      <c r="I65" s="2">
        <v>6</v>
      </c>
      <c r="J65" s="2">
        <v>5</v>
      </c>
      <c r="K65" s="2">
        <v>1</v>
      </c>
    </row>
    <row r="66" spans="2:11">
      <c r="B66" s="2" t="s">
        <v>142</v>
      </c>
      <c r="C66" s="2">
        <v>3</v>
      </c>
      <c r="D66" s="5">
        <v>1</v>
      </c>
      <c r="E66" s="6">
        <v>1</v>
      </c>
      <c r="F66" s="7">
        <v>1</v>
      </c>
      <c r="G66" s="26">
        <v>4</v>
      </c>
      <c r="H66" s="23">
        <v>0.33333333333333331</v>
      </c>
      <c r="I66" s="2">
        <v>2</v>
      </c>
      <c r="J66" s="2">
        <v>1</v>
      </c>
      <c r="K66" s="2">
        <v>1</v>
      </c>
    </row>
    <row r="67" spans="2:11">
      <c r="B67" s="2" t="s">
        <v>48</v>
      </c>
      <c r="C67" s="2">
        <v>4</v>
      </c>
      <c r="D67" s="5">
        <v>1</v>
      </c>
      <c r="E67" s="6">
        <v>2</v>
      </c>
      <c r="F67" s="7">
        <v>1</v>
      </c>
      <c r="G67" s="26">
        <v>5</v>
      </c>
      <c r="H67" s="23">
        <v>0.25</v>
      </c>
      <c r="I67" s="2">
        <v>5</v>
      </c>
      <c r="J67" s="2">
        <v>8</v>
      </c>
      <c r="K67" s="2">
        <v>-3</v>
      </c>
    </row>
    <row r="68" spans="2:11">
      <c r="B68" s="2" t="s">
        <v>61</v>
      </c>
      <c r="C68" s="2">
        <v>3</v>
      </c>
      <c r="D68" s="5">
        <v>2</v>
      </c>
      <c r="E68" s="6">
        <v>1</v>
      </c>
      <c r="F68" s="7">
        <v>0</v>
      </c>
      <c r="G68" s="26">
        <v>7</v>
      </c>
      <c r="H68" s="23">
        <v>0.66666666666666663</v>
      </c>
      <c r="I68" s="2">
        <v>8</v>
      </c>
      <c r="J68" s="2">
        <v>4</v>
      </c>
      <c r="K68" s="2">
        <v>4</v>
      </c>
    </row>
    <row r="70" spans="2:11">
      <c r="B70" s="1" t="s">
        <v>190</v>
      </c>
    </row>
    <row r="71" spans="2:11">
      <c r="B71" s="4" t="s">
        <v>7</v>
      </c>
      <c r="C71" s="4" t="s">
        <v>30</v>
      </c>
      <c r="D71" s="4" t="s">
        <v>31</v>
      </c>
      <c r="E71" s="4" t="s">
        <v>32</v>
      </c>
      <c r="F71" s="4" t="s">
        <v>33</v>
      </c>
      <c r="G71" s="4" t="s">
        <v>34</v>
      </c>
      <c r="H71" s="4" t="s">
        <v>35</v>
      </c>
      <c r="I71" s="4" t="s">
        <v>8</v>
      </c>
      <c r="J71" s="4" t="s">
        <v>9</v>
      </c>
      <c r="K71" s="4" t="s">
        <v>36</v>
      </c>
    </row>
    <row r="72" spans="2:11">
      <c r="B72" s="2" t="s">
        <v>45</v>
      </c>
      <c r="C72" s="2">
        <v>2</v>
      </c>
      <c r="D72" s="5">
        <v>1</v>
      </c>
      <c r="E72" s="6">
        <v>0</v>
      </c>
      <c r="F72" s="7">
        <v>1</v>
      </c>
      <c r="G72" s="26">
        <v>3</v>
      </c>
      <c r="H72" s="10">
        <v>0.5</v>
      </c>
      <c r="I72" s="2">
        <v>2</v>
      </c>
      <c r="J72" s="2">
        <v>1</v>
      </c>
      <c r="K72" s="2">
        <v>1</v>
      </c>
    </row>
    <row r="73" spans="2:11">
      <c r="B73" s="2" t="s">
        <v>49</v>
      </c>
      <c r="C73" s="2">
        <v>3</v>
      </c>
      <c r="D73" s="5">
        <v>1</v>
      </c>
      <c r="E73" s="6">
        <v>2</v>
      </c>
      <c r="F73" s="7">
        <v>0</v>
      </c>
      <c r="G73" s="26">
        <v>5</v>
      </c>
      <c r="H73" s="23">
        <v>0.33333333333333331</v>
      </c>
      <c r="I73" s="2">
        <v>6</v>
      </c>
      <c r="J73" s="2">
        <v>5</v>
      </c>
      <c r="K73" s="2">
        <v>1</v>
      </c>
    </row>
    <row r="74" spans="2:11">
      <c r="B74" s="13" t="s">
        <v>60</v>
      </c>
      <c r="C74" s="13">
        <v>5</v>
      </c>
      <c r="D74" s="13">
        <v>2</v>
      </c>
      <c r="E74" s="13">
        <v>2</v>
      </c>
      <c r="F74" s="13">
        <v>1</v>
      </c>
      <c r="G74" s="13">
        <v>8</v>
      </c>
      <c r="H74" s="14">
        <v>0.4</v>
      </c>
      <c r="I74" s="13">
        <v>8</v>
      </c>
      <c r="J74" s="13">
        <v>6</v>
      </c>
      <c r="K74" s="13">
        <v>2</v>
      </c>
    </row>
    <row r="75" spans="2:11">
      <c r="B75" s="4" t="s">
        <v>66</v>
      </c>
      <c r="C75" s="4" t="s">
        <v>30</v>
      </c>
      <c r="D75" s="4" t="s">
        <v>31</v>
      </c>
      <c r="E75" s="4" t="s">
        <v>32</v>
      </c>
      <c r="F75" s="4" t="s">
        <v>33</v>
      </c>
      <c r="G75" s="4" t="s">
        <v>34</v>
      </c>
      <c r="H75" s="4" t="s">
        <v>35</v>
      </c>
      <c r="I75" s="4" t="s">
        <v>8</v>
      </c>
      <c r="J75" s="4" t="s">
        <v>9</v>
      </c>
      <c r="K75" s="4" t="s">
        <v>36</v>
      </c>
    </row>
    <row r="76" spans="2:11">
      <c r="B76" s="2" t="s">
        <v>55</v>
      </c>
      <c r="C76" s="2">
        <v>1</v>
      </c>
      <c r="D76" s="5">
        <v>0</v>
      </c>
      <c r="E76" s="6">
        <v>1</v>
      </c>
      <c r="F76" s="7">
        <v>0</v>
      </c>
      <c r="G76" s="26">
        <v>1</v>
      </c>
      <c r="H76" s="23">
        <v>0</v>
      </c>
      <c r="I76" s="2">
        <v>3</v>
      </c>
      <c r="J76" s="2">
        <v>3</v>
      </c>
      <c r="K76" s="2">
        <v>0</v>
      </c>
    </row>
    <row r="77" spans="2:11">
      <c r="B77" s="2" t="s">
        <v>57</v>
      </c>
      <c r="C77" s="2">
        <v>0</v>
      </c>
      <c r="D77" s="5">
        <v>0</v>
      </c>
      <c r="E77" s="6">
        <v>0</v>
      </c>
      <c r="F77" s="7">
        <v>0</v>
      </c>
      <c r="G77" s="26">
        <v>0</v>
      </c>
      <c r="H77" s="23">
        <v>0</v>
      </c>
      <c r="I77" s="2">
        <v>0</v>
      </c>
      <c r="J77" s="2">
        <v>0</v>
      </c>
      <c r="K77" s="2">
        <v>0</v>
      </c>
    </row>
    <row r="78" spans="2:11">
      <c r="B78" s="2" t="s">
        <v>48</v>
      </c>
      <c r="C78" s="2">
        <v>1</v>
      </c>
      <c r="D78" s="5">
        <v>1</v>
      </c>
      <c r="E78" s="6">
        <v>0</v>
      </c>
      <c r="F78" s="7">
        <v>0</v>
      </c>
      <c r="G78" s="26">
        <v>3</v>
      </c>
      <c r="H78" s="23">
        <v>1</v>
      </c>
      <c r="I78" s="2">
        <v>3</v>
      </c>
      <c r="J78" s="2">
        <v>2</v>
      </c>
      <c r="K78" s="2">
        <v>1</v>
      </c>
    </row>
    <row r="79" spans="2:11">
      <c r="B79" s="2" t="s">
        <v>67</v>
      </c>
      <c r="C79" s="2">
        <v>0</v>
      </c>
      <c r="D79" s="5">
        <v>0</v>
      </c>
      <c r="E79" s="6">
        <v>0</v>
      </c>
      <c r="F79" s="7">
        <v>0</v>
      </c>
      <c r="G79" s="26">
        <v>0</v>
      </c>
      <c r="H79" s="23">
        <v>0</v>
      </c>
      <c r="I79" s="2">
        <v>0</v>
      </c>
      <c r="J79" s="2">
        <v>0</v>
      </c>
      <c r="K79" s="2">
        <v>0</v>
      </c>
    </row>
    <row r="80" spans="2:11">
      <c r="B80" s="2" t="s">
        <v>265</v>
      </c>
      <c r="C80" s="2">
        <v>0</v>
      </c>
      <c r="D80" s="5">
        <v>0</v>
      </c>
      <c r="E80" s="6">
        <v>0</v>
      </c>
      <c r="F80" s="7">
        <v>0</v>
      </c>
      <c r="G80" s="26">
        <v>0</v>
      </c>
      <c r="H80" s="23">
        <v>0</v>
      </c>
      <c r="I80" s="2">
        <v>0</v>
      </c>
      <c r="J80" s="2">
        <v>0</v>
      </c>
      <c r="K80" s="2">
        <v>0</v>
      </c>
    </row>
    <row r="81" spans="2:11">
      <c r="B81" s="2" t="s">
        <v>44</v>
      </c>
      <c r="C81" s="2">
        <v>1</v>
      </c>
      <c r="D81" s="5">
        <v>0</v>
      </c>
      <c r="E81" s="6">
        <v>1</v>
      </c>
      <c r="F81" s="7">
        <v>0</v>
      </c>
      <c r="G81" s="26">
        <v>1</v>
      </c>
      <c r="H81" s="23">
        <v>0</v>
      </c>
      <c r="I81" s="2">
        <v>0</v>
      </c>
      <c r="J81" s="2">
        <v>0</v>
      </c>
      <c r="K81" s="2">
        <v>0</v>
      </c>
    </row>
    <row r="82" spans="2:11">
      <c r="B82" s="2" t="s">
        <v>61</v>
      </c>
      <c r="C82" s="2">
        <v>1</v>
      </c>
      <c r="D82" s="5">
        <v>1</v>
      </c>
      <c r="E82" s="6">
        <v>0</v>
      </c>
      <c r="F82" s="7">
        <v>0</v>
      </c>
      <c r="G82" s="26">
        <v>3</v>
      </c>
      <c r="H82" s="23">
        <v>1</v>
      </c>
      <c r="I82" s="2">
        <v>2</v>
      </c>
      <c r="J82" s="2">
        <v>0</v>
      </c>
      <c r="K82" s="2">
        <v>2</v>
      </c>
    </row>
    <row r="83" spans="2:11">
      <c r="B83" s="2" t="s">
        <v>77</v>
      </c>
      <c r="C83" s="2">
        <v>0</v>
      </c>
      <c r="D83" s="5">
        <v>0</v>
      </c>
      <c r="E83" s="6">
        <v>0</v>
      </c>
      <c r="F83" s="7">
        <v>0</v>
      </c>
      <c r="G83" s="26">
        <v>0</v>
      </c>
      <c r="H83" s="23">
        <v>0</v>
      </c>
      <c r="I83" s="2">
        <v>0</v>
      </c>
      <c r="J83" s="2">
        <v>0</v>
      </c>
      <c r="K83" s="2">
        <v>0</v>
      </c>
    </row>
    <row r="84" spans="2:11">
      <c r="B84" s="2" t="s">
        <v>246</v>
      </c>
      <c r="C84" s="2">
        <v>1</v>
      </c>
      <c r="D84" s="5">
        <v>0</v>
      </c>
      <c r="E84" s="6">
        <v>0</v>
      </c>
      <c r="F84" s="7">
        <v>1</v>
      </c>
      <c r="G84" s="26">
        <v>0</v>
      </c>
      <c r="H84" s="23">
        <v>0</v>
      </c>
      <c r="I84" s="2">
        <v>0</v>
      </c>
      <c r="J84" s="2">
        <v>1</v>
      </c>
      <c r="K84" s="2">
        <v>-1</v>
      </c>
    </row>
    <row r="85" spans="2:11">
      <c r="B85" s="2" t="s">
        <v>71</v>
      </c>
      <c r="C85" s="2">
        <v>0</v>
      </c>
      <c r="D85" s="5">
        <v>0</v>
      </c>
      <c r="E85" s="6">
        <v>0</v>
      </c>
      <c r="F85" s="7">
        <v>0</v>
      </c>
      <c r="G85" s="26">
        <v>0</v>
      </c>
      <c r="H85" s="23">
        <v>0</v>
      </c>
      <c r="I85" s="2">
        <v>0</v>
      </c>
      <c r="J85" s="2">
        <v>0</v>
      </c>
      <c r="K85" s="2">
        <v>0</v>
      </c>
    </row>
    <row r="86" spans="2:11">
      <c r="B86" s="2" t="s">
        <v>72</v>
      </c>
      <c r="C86" s="2">
        <v>0</v>
      </c>
      <c r="D86" s="5">
        <v>0</v>
      </c>
      <c r="E86" s="6">
        <v>0</v>
      </c>
      <c r="F86" s="7">
        <v>0</v>
      </c>
      <c r="G86" s="26">
        <v>0</v>
      </c>
      <c r="H86" s="23">
        <v>0</v>
      </c>
      <c r="I86" s="2">
        <v>0</v>
      </c>
      <c r="J86" s="2">
        <v>0</v>
      </c>
      <c r="K86" s="2">
        <v>0</v>
      </c>
    </row>
  </sheetData>
  <phoneticPr fontId="3" type="noConversion"/>
  <conditionalFormatting sqref="H58:H68">
    <cfRule type="cellIs" dxfId="51" priority="2" operator="greaterThan">
      <formula>0.5</formula>
    </cfRule>
  </conditionalFormatting>
  <conditionalFormatting sqref="H76:H86">
    <cfRule type="cellIs" dxfId="50" priority="1" operator="greaterThan">
      <formula>0.5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56"/>
  <sheetViews>
    <sheetView showGridLines="0" topLeftCell="A13" zoomScale="85" zoomScaleNormal="85" workbookViewId="0">
      <selection activeCell="V38" sqref="V38:V39"/>
    </sheetView>
  </sheetViews>
  <sheetFormatPr defaultRowHeight="17"/>
  <cols>
    <col min="2" max="2" width="10.58203125" style="18" bestFit="1" customWidth="1"/>
    <col min="3" max="3" width="6.5" style="18" bestFit="1" customWidth="1"/>
    <col min="4" max="4" width="11.75" style="18" bestFit="1" customWidth="1"/>
    <col min="5" max="5" width="7.08203125" style="18" customWidth="1"/>
    <col min="6" max="7" width="5.5" style="18" customWidth="1"/>
    <col min="8" max="8" width="9.25" style="18" customWidth="1"/>
    <col min="9" max="9" width="7.08203125" style="18" customWidth="1"/>
    <col min="10" max="10" width="7.33203125" style="18" customWidth="1"/>
    <col min="11" max="11" width="5.5" style="18" customWidth="1"/>
    <col min="12" max="18" width="11" style="452" customWidth="1"/>
    <col min="19" max="20" width="7.08203125" style="452" customWidth="1"/>
    <col min="21" max="21" width="8.83203125" style="452" customWidth="1"/>
    <col min="22" max="22" width="9.83203125" style="452" bestFit="1" customWidth="1"/>
    <col min="23" max="23" width="12.58203125" style="452" bestFit="1" customWidth="1"/>
    <col min="24" max="24" width="11" style="452" bestFit="1" customWidth="1"/>
    <col min="25" max="27" width="5.5" style="452" bestFit="1" customWidth="1"/>
    <col min="28" max="28" width="9.25" style="452" bestFit="1" customWidth="1"/>
    <col min="29" max="29" width="8.25" style="452" bestFit="1" customWidth="1"/>
    <col min="30" max="30" width="9.25" style="452" bestFit="1" customWidth="1"/>
    <col min="31" max="31" width="5.5" style="452" bestFit="1" customWidth="1"/>
    <col min="32" max="33" width="3.25" style="452" bestFit="1" customWidth="1"/>
    <col min="34" max="34" width="3.58203125" style="452" bestFit="1" customWidth="1"/>
    <col min="35" max="35" width="6" style="452" bestFit="1" customWidth="1"/>
    <col min="36" max="36" width="8.58203125" style="452" hidden="1" customWidth="1"/>
  </cols>
  <sheetData>
    <row r="1" spans="1:51" ht="17.5" customHeight="1" thickBot="1"/>
    <row r="2" spans="1:51" ht="17.5" customHeight="1" thickBot="1">
      <c r="A2" s="115" t="s">
        <v>2</v>
      </c>
      <c r="B2" s="116" t="s">
        <v>3</v>
      </c>
      <c r="C2" s="116" t="s">
        <v>5</v>
      </c>
      <c r="D2" s="116" t="s">
        <v>6</v>
      </c>
      <c r="E2" s="116" t="s">
        <v>7</v>
      </c>
      <c r="F2" s="116" t="s">
        <v>8</v>
      </c>
      <c r="G2" s="116" t="s">
        <v>9</v>
      </c>
      <c r="H2" s="116" t="s">
        <v>11</v>
      </c>
      <c r="I2" s="116" t="s">
        <v>12</v>
      </c>
      <c r="J2" s="116" t="s">
        <v>13</v>
      </c>
      <c r="K2" s="116" t="s">
        <v>10</v>
      </c>
      <c r="L2" s="45" t="s">
        <v>14</v>
      </c>
      <c r="M2" s="45" t="s">
        <v>15</v>
      </c>
      <c r="N2" s="45" t="s">
        <v>16</v>
      </c>
      <c r="O2" s="45" t="s">
        <v>17</v>
      </c>
      <c r="P2" s="45" t="s">
        <v>243</v>
      </c>
      <c r="Q2" s="117" t="s">
        <v>18</v>
      </c>
      <c r="R2" s="117" t="s">
        <v>19</v>
      </c>
      <c r="S2" s="117" t="s">
        <v>20</v>
      </c>
      <c r="T2" s="117" t="s">
        <v>21</v>
      </c>
      <c r="U2" s="117" t="s">
        <v>244</v>
      </c>
      <c r="V2" s="43" t="s">
        <v>22</v>
      </c>
      <c r="X2" s="33" t="s">
        <v>24</v>
      </c>
      <c r="Y2" s="38" t="s">
        <v>8</v>
      </c>
      <c r="Z2" s="38" t="s">
        <v>28</v>
      </c>
      <c r="AA2" s="38" t="s">
        <v>29</v>
      </c>
      <c r="AD2" s="4" t="s">
        <v>11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138</v>
      </c>
      <c r="AR2" s="4" t="s">
        <v>245</v>
      </c>
      <c r="AS2" s="4" t="s">
        <v>30</v>
      </c>
      <c r="AT2" s="4" t="s">
        <v>31</v>
      </c>
      <c r="AU2" s="4" t="s">
        <v>32</v>
      </c>
      <c r="AV2" s="4" t="s">
        <v>33</v>
      </c>
      <c r="AW2" s="4" t="s">
        <v>34</v>
      </c>
      <c r="AX2" s="4" t="s">
        <v>35</v>
      </c>
      <c r="AY2" s="4" t="s">
        <v>138</v>
      </c>
    </row>
    <row r="3" spans="1:51">
      <c r="A3" s="98" t="s">
        <v>42</v>
      </c>
      <c r="B3" s="118">
        <v>44982</v>
      </c>
      <c r="C3" s="99">
        <v>1</v>
      </c>
      <c r="D3" s="99" t="s">
        <v>44</v>
      </c>
      <c r="E3" s="99" t="s">
        <v>49</v>
      </c>
      <c r="F3" s="99">
        <v>1</v>
      </c>
      <c r="G3" s="99">
        <v>2</v>
      </c>
      <c r="H3" s="99" t="s">
        <v>247</v>
      </c>
      <c r="I3" s="99" t="s">
        <v>255</v>
      </c>
      <c r="J3" s="99" t="s">
        <v>249</v>
      </c>
      <c r="K3" s="99" t="s">
        <v>33</v>
      </c>
      <c r="L3" s="119" t="s">
        <v>278</v>
      </c>
      <c r="M3" s="119"/>
      <c r="N3" s="119"/>
      <c r="O3" s="119"/>
      <c r="P3" s="119"/>
      <c r="Q3" s="119"/>
      <c r="R3" s="119"/>
      <c r="S3" s="119"/>
      <c r="T3" s="119"/>
      <c r="U3" s="119"/>
      <c r="V3" s="120"/>
      <c r="X3" s="72" t="s">
        <v>300</v>
      </c>
      <c r="Y3" s="81">
        <f t="shared" ref="Y3:Y40" si="0">COUNTIF(L$3:P$50,X3)</f>
        <v>12</v>
      </c>
      <c r="Z3" s="81">
        <f t="shared" ref="Z3:Z40" si="1">COUNTIF(Q$3:U$50,X3)</f>
        <v>5</v>
      </c>
      <c r="AA3" s="51">
        <f t="shared" ref="AA3:AA40" si="2">Y3+Z3</f>
        <v>17</v>
      </c>
      <c r="AD3" s="20" t="s">
        <v>250</v>
      </c>
      <c r="AE3" s="20">
        <f>SUM(AF3:AH3)</f>
        <v>14</v>
      </c>
      <c r="AF3" s="28">
        <f>COUNTIFS(H:H,AD3,K:K,AF$2)</f>
        <v>2</v>
      </c>
      <c r="AG3" s="28">
        <f>COUNTIFS(H:H,AD3,K:K,AG$2)</f>
        <v>8</v>
      </c>
      <c r="AH3" s="29">
        <f>COUNTIFS(H:H,AD3,K:K,AH$2)</f>
        <v>4</v>
      </c>
      <c r="AI3" s="8">
        <f>AF3*3+AG3</f>
        <v>14</v>
      </c>
      <c r="AJ3" s="23">
        <f>AF3/AE3</f>
        <v>0.14285714285714285</v>
      </c>
      <c r="AK3" s="25">
        <f>AI3/AE3</f>
        <v>1</v>
      </c>
      <c r="AR3" s="2" t="s">
        <v>251</v>
      </c>
      <c r="AS3" s="2">
        <f t="shared" ref="AS3:AS17" si="3">SUM(AT3:AV3)</f>
        <v>4</v>
      </c>
      <c r="AT3" s="5">
        <f t="shared" ref="AT3:AT17" si="4">COUNTIFS(I:I,AR3,K:K,AT$2)</f>
        <v>2</v>
      </c>
      <c r="AU3" s="6">
        <f t="shared" ref="AU3:AU17" si="5">COUNTIFS(I:I,AR3,K:K,AU$2)</f>
        <v>0</v>
      </c>
      <c r="AV3" s="7">
        <f t="shared" ref="AV3:AV17" si="6">COUNTIFS(I:I,AR3,K:K,AV$2)</f>
        <v>2</v>
      </c>
      <c r="AW3" s="26">
        <f t="shared" ref="AW3:AW17" si="7">AT3*3+AU3</f>
        <v>6</v>
      </c>
      <c r="AX3" s="11">
        <f t="shared" ref="AX3:AX17" si="8">AT3/AS3</f>
        <v>0.5</v>
      </c>
      <c r="AY3" s="22">
        <f t="shared" ref="AY3:AY17" si="9">AW3/AS3</f>
        <v>1.5</v>
      </c>
    </row>
    <row r="4" spans="1:51">
      <c r="A4" s="110" t="s">
        <v>42</v>
      </c>
      <c r="B4" s="105">
        <v>44989</v>
      </c>
      <c r="C4" s="30">
        <v>2</v>
      </c>
      <c r="D4" s="30" t="s">
        <v>61</v>
      </c>
      <c r="E4" s="30" t="s">
        <v>45</v>
      </c>
      <c r="F4" s="30">
        <v>3</v>
      </c>
      <c r="G4" s="30">
        <v>3</v>
      </c>
      <c r="H4" s="30" t="s">
        <v>247</v>
      </c>
      <c r="I4" s="30" t="s">
        <v>301</v>
      </c>
      <c r="J4" s="30" t="s">
        <v>249</v>
      </c>
      <c r="K4" s="30" t="s">
        <v>32</v>
      </c>
      <c r="L4" s="15" t="s">
        <v>73</v>
      </c>
      <c r="M4" s="15" t="s">
        <v>300</v>
      </c>
      <c r="N4" s="15" t="s">
        <v>272</v>
      </c>
      <c r="O4" s="15"/>
      <c r="P4" s="15"/>
      <c r="Q4" s="15"/>
      <c r="R4" s="15" t="s">
        <v>261</v>
      </c>
      <c r="S4" s="15"/>
      <c r="T4" s="15"/>
      <c r="U4" s="15"/>
      <c r="V4" s="92">
        <v>10011</v>
      </c>
      <c r="X4" s="72" t="s">
        <v>70</v>
      </c>
      <c r="Y4" s="81">
        <f t="shared" si="0"/>
        <v>10</v>
      </c>
      <c r="Z4" s="81">
        <f t="shared" si="1"/>
        <v>9</v>
      </c>
      <c r="AA4" s="51">
        <f t="shared" si="2"/>
        <v>19</v>
      </c>
      <c r="AD4" s="2" t="s">
        <v>252</v>
      </c>
      <c r="AE4" s="2">
        <f>SUM(AF4:AH4)</f>
        <v>18</v>
      </c>
      <c r="AF4" s="28">
        <f>COUNTIFS(H:H,AD4,K:K,AF$2)</f>
        <v>10</v>
      </c>
      <c r="AG4" s="28">
        <f>COUNTIFS(H:H,AD4,K:K,AG$2)</f>
        <v>4</v>
      </c>
      <c r="AH4" s="29">
        <f>COUNTIFS(H:H,AD4,K:K,AH$2)</f>
        <v>4</v>
      </c>
      <c r="AI4" s="8">
        <f>AF4*3+AG4</f>
        <v>34</v>
      </c>
      <c r="AJ4" s="10">
        <f>AF4/AE4</f>
        <v>0.55555555555555558</v>
      </c>
      <c r="AK4" s="22">
        <f>AI4/AE4</f>
        <v>1.8888888888888888</v>
      </c>
      <c r="AR4" s="2" t="s">
        <v>302</v>
      </c>
      <c r="AS4" s="2">
        <f t="shared" si="3"/>
        <v>2</v>
      </c>
      <c r="AT4" s="5">
        <f t="shared" si="4"/>
        <v>2</v>
      </c>
      <c r="AU4" s="6">
        <f t="shared" si="5"/>
        <v>0</v>
      </c>
      <c r="AV4" s="7">
        <f t="shared" si="6"/>
        <v>0</v>
      </c>
      <c r="AW4" s="8">
        <f t="shared" si="7"/>
        <v>6</v>
      </c>
      <c r="AX4" s="11">
        <f t="shared" si="8"/>
        <v>1</v>
      </c>
      <c r="AY4" s="22">
        <f t="shared" si="9"/>
        <v>3</v>
      </c>
    </row>
    <row r="5" spans="1:51">
      <c r="A5" s="110" t="s">
        <v>42</v>
      </c>
      <c r="B5" s="105">
        <v>44997</v>
      </c>
      <c r="C5" s="30">
        <v>3</v>
      </c>
      <c r="D5" s="30" t="s">
        <v>77</v>
      </c>
      <c r="E5" s="30" t="s">
        <v>45</v>
      </c>
      <c r="F5" s="30">
        <v>1</v>
      </c>
      <c r="G5" s="30">
        <v>0</v>
      </c>
      <c r="H5" s="30" t="s">
        <v>252</v>
      </c>
      <c r="I5" s="30" t="s">
        <v>253</v>
      </c>
      <c r="J5" s="30" t="s">
        <v>263</v>
      </c>
      <c r="K5" s="30" t="s">
        <v>31</v>
      </c>
      <c r="L5" s="15" t="s">
        <v>70</v>
      </c>
      <c r="M5" s="15"/>
      <c r="N5" s="15"/>
      <c r="O5" s="15"/>
      <c r="P5" s="15"/>
      <c r="Q5" s="15" t="s">
        <v>300</v>
      </c>
      <c r="R5" s="15"/>
      <c r="S5" s="15"/>
      <c r="T5" s="15"/>
      <c r="U5" s="15"/>
      <c r="V5" s="92">
        <v>6007</v>
      </c>
      <c r="X5" s="72" t="s">
        <v>272</v>
      </c>
      <c r="Y5" s="81">
        <f t="shared" si="0"/>
        <v>5</v>
      </c>
      <c r="Z5" s="81">
        <f t="shared" si="1"/>
        <v>5</v>
      </c>
      <c r="AA5" s="51">
        <f t="shared" si="2"/>
        <v>10</v>
      </c>
      <c r="AD5" s="2" t="s">
        <v>256</v>
      </c>
      <c r="AE5" s="2">
        <f>SUM(AF5:AH5)</f>
        <v>8</v>
      </c>
      <c r="AF5" s="28">
        <f>COUNTIFS(H:H,AD5,K:K,AF$2)</f>
        <v>3</v>
      </c>
      <c r="AG5" s="28">
        <f>COUNTIFS(H:H,AD5,K:K,AG$2)</f>
        <v>2</v>
      </c>
      <c r="AH5" s="29">
        <f>COUNTIFS(H:H,AD5,K:K,AH$2)</f>
        <v>3</v>
      </c>
      <c r="AI5" s="8">
        <f>AF5*3+AG5</f>
        <v>11</v>
      </c>
      <c r="AJ5" s="10">
        <f>AF5/AE5</f>
        <v>0.375</v>
      </c>
      <c r="AK5" s="22">
        <f>AI5/AE5</f>
        <v>1.375</v>
      </c>
      <c r="AR5" s="2" t="s">
        <v>301</v>
      </c>
      <c r="AS5" s="2">
        <f t="shared" si="3"/>
        <v>7</v>
      </c>
      <c r="AT5" s="5">
        <f t="shared" si="4"/>
        <v>2</v>
      </c>
      <c r="AU5" s="6">
        <f t="shared" si="5"/>
        <v>4</v>
      </c>
      <c r="AV5" s="7">
        <f t="shared" si="6"/>
        <v>1</v>
      </c>
      <c r="AW5" s="8">
        <f t="shared" si="7"/>
        <v>10</v>
      </c>
      <c r="AX5" s="11">
        <f t="shared" si="8"/>
        <v>0.2857142857142857</v>
      </c>
      <c r="AY5" s="22">
        <f t="shared" si="9"/>
        <v>1.4285714285714286</v>
      </c>
    </row>
    <row r="6" spans="1:51">
      <c r="A6" s="110" t="s">
        <v>42</v>
      </c>
      <c r="B6" s="105">
        <v>45003</v>
      </c>
      <c r="C6" s="30">
        <v>4</v>
      </c>
      <c r="D6" s="30" t="s">
        <v>48</v>
      </c>
      <c r="E6" s="30" t="s">
        <v>49</v>
      </c>
      <c r="F6" s="30">
        <v>0</v>
      </c>
      <c r="G6" s="30">
        <v>5</v>
      </c>
      <c r="H6" s="30" t="s">
        <v>259</v>
      </c>
      <c r="I6" s="30" t="s">
        <v>251</v>
      </c>
      <c r="J6" s="30" t="s">
        <v>260</v>
      </c>
      <c r="K6" s="30" t="s">
        <v>33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54"/>
      <c r="X6" s="72" t="s">
        <v>143</v>
      </c>
      <c r="Y6" s="81">
        <f t="shared" si="0"/>
        <v>3</v>
      </c>
      <c r="Z6" s="81">
        <f t="shared" si="1"/>
        <v>6</v>
      </c>
      <c r="AA6" s="51">
        <f t="shared" si="2"/>
        <v>9</v>
      </c>
      <c r="AD6" s="2" t="s">
        <v>303</v>
      </c>
      <c r="AE6" s="2">
        <f>SUM(AF6:AH6)</f>
        <v>6</v>
      </c>
      <c r="AF6" s="28">
        <f>COUNTIFS(H:H,AD6,K:K,AF$2)</f>
        <v>4</v>
      </c>
      <c r="AG6" s="28">
        <f>COUNTIFS(H:H,AD6,K:K,AG$2)</f>
        <v>0</v>
      </c>
      <c r="AH6" s="29">
        <f>COUNTIFS(H:H,AD6,K:K,AH$2)</f>
        <v>2</v>
      </c>
      <c r="AI6" s="8">
        <f>AF6*3+AG6</f>
        <v>12</v>
      </c>
      <c r="AJ6" s="10">
        <f>AF6/AE6</f>
        <v>0.66666666666666663</v>
      </c>
      <c r="AK6" s="22">
        <f>AI6/AE6</f>
        <v>2</v>
      </c>
      <c r="AR6" s="20" t="s">
        <v>255</v>
      </c>
      <c r="AS6" s="2">
        <f t="shared" si="3"/>
        <v>2</v>
      </c>
      <c r="AT6" s="5">
        <f t="shared" si="4"/>
        <v>0</v>
      </c>
      <c r="AU6" s="6">
        <f t="shared" si="5"/>
        <v>1</v>
      </c>
      <c r="AV6" s="7">
        <f t="shared" si="6"/>
        <v>1</v>
      </c>
      <c r="AW6" s="26">
        <f t="shared" si="7"/>
        <v>1</v>
      </c>
      <c r="AX6" s="11">
        <f t="shared" si="8"/>
        <v>0</v>
      </c>
      <c r="AY6" s="22">
        <f t="shared" si="9"/>
        <v>0.5</v>
      </c>
    </row>
    <row r="7" spans="1:51">
      <c r="A7" s="110" t="s">
        <v>42</v>
      </c>
      <c r="B7" s="105">
        <v>45017</v>
      </c>
      <c r="C7" s="30">
        <v>5</v>
      </c>
      <c r="D7" s="30" t="s">
        <v>265</v>
      </c>
      <c r="E7" s="30" t="s">
        <v>45</v>
      </c>
      <c r="F7" s="30">
        <v>0</v>
      </c>
      <c r="G7" s="30">
        <v>0</v>
      </c>
      <c r="H7" s="30" t="s">
        <v>252</v>
      </c>
      <c r="I7" s="30" t="s">
        <v>253</v>
      </c>
      <c r="J7" s="30" t="s">
        <v>263</v>
      </c>
      <c r="K7" s="30" t="s">
        <v>32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92">
        <v>8250</v>
      </c>
      <c r="X7" s="72" t="s">
        <v>271</v>
      </c>
      <c r="Y7" s="81">
        <f t="shared" si="0"/>
        <v>9</v>
      </c>
      <c r="Z7" s="81">
        <f t="shared" si="1"/>
        <v>0</v>
      </c>
      <c r="AA7" s="51">
        <f t="shared" si="2"/>
        <v>9</v>
      </c>
      <c r="AD7" s="2" t="s">
        <v>304</v>
      </c>
      <c r="AE7" s="2">
        <f>SUM(AF7:AH7)</f>
        <v>2</v>
      </c>
      <c r="AF7" s="28">
        <f>COUNTIFS(H:H,AD7,K:K,AF$2)</f>
        <v>2</v>
      </c>
      <c r="AG7" s="28">
        <f>COUNTIFS(H:H,AD7,K:K,AG$2)</f>
        <v>0</v>
      </c>
      <c r="AH7" s="29">
        <f>COUNTIFS(H:H,AD7,K:K,AH$2)</f>
        <v>0</v>
      </c>
      <c r="AI7" s="8">
        <f>AF7*3+AG7</f>
        <v>6</v>
      </c>
      <c r="AJ7" s="10">
        <f>AF7/AE7</f>
        <v>1</v>
      </c>
      <c r="AK7" s="22">
        <f>AI7/AE7</f>
        <v>3</v>
      </c>
      <c r="AR7" s="20" t="s">
        <v>257</v>
      </c>
      <c r="AS7" s="2">
        <f t="shared" si="3"/>
        <v>9</v>
      </c>
      <c r="AT7" s="5">
        <f t="shared" si="4"/>
        <v>4</v>
      </c>
      <c r="AU7" s="6">
        <f t="shared" si="5"/>
        <v>1</v>
      </c>
      <c r="AV7" s="7">
        <f t="shared" si="6"/>
        <v>4</v>
      </c>
      <c r="AW7" s="8">
        <f t="shared" si="7"/>
        <v>13</v>
      </c>
      <c r="AX7" s="11">
        <f t="shared" si="8"/>
        <v>0.44444444444444442</v>
      </c>
      <c r="AY7" s="22">
        <f t="shared" si="9"/>
        <v>1.4444444444444444</v>
      </c>
    </row>
    <row r="8" spans="1:51">
      <c r="A8" s="110" t="s">
        <v>42</v>
      </c>
      <c r="B8" s="105">
        <v>45025</v>
      </c>
      <c r="C8" s="30">
        <v>6</v>
      </c>
      <c r="D8" s="30" t="s">
        <v>67</v>
      </c>
      <c r="E8" s="30" t="s">
        <v>49</v>
      </c>
      <c r="F8" s="30">
        <v>0</v>
      </c>
      <c r="G8" s="30">
        <v>2</v>
      </c>
      <c r="H8" s="30" t="s">
        <v>252</v>
      </c>
      <c r="I8" s="30" t="s">
        <v>257</v>
      </c>
      <c r="J8" s="30" t="s">
        <v>270</v>
      </c>
      <c r="K8" s="30" t="s">
        <v>33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54"/>
      <c r="X8" s="72" t="s">
        <v>46</v>
      </c>
      <c r="Y8" s="81">
        <f t="shared" si="0"/>
        <v>5</v>
      </c>
      <c r="Z8" s="81">
        <f t="shared" si="1"/>
        <v>2</v>
      </c>
      <c r="AA8" s="51">
        <f t="shared" si="2"/>
        <v>7</v>
      </c>
      <c r="AC8" s="4" t="s">
        <v>7</v>
      </c>
      <c r="AD8" s="4" t="s">
        <v>11</v>
      </c>
      <c r="AE8" s="4" t="s">
        <v>30</v>
      </c>
      <c r="AF8" s="4" t="s">
        <v>31</v>
      </c>
      <c r="AG8" s="4" t="s">
        <v>32</v>
      </c>
      <c r="AH8" s="4" t="s">
        <v>33</v>
      </c>
      <c r="AI8" s="4" t="s">
        <v>34</v>
      </c>
      <c r="AJ8" s="4" t="s">
        <v>35</v>
      </c>
      <c r="AK8" s="4" t="s">
        <v>138</v>
      </c>
      <c r="AR8" s="20" t="s">
        <v>253</v>
      </c>
      <c r="AS8" s="2">
        <f t="shared" si="3"/>
        <v>5</v>
      </c>
      <c r="AT8" s="5">
        <f t="shared" si="4"/>
        <v>3</v>
      </c>
      <c r="AU8" s="6">
        <f t="shared" si="5"/>
        <v>1</v>
      </c>
      <c r="AV8" s="7">
        <f t="shared" si="6"/>
        <v>1</v>
      </c>
      <c r="AW8" s="8">
        <f t="shared" si="7"/>
        <v>10</v>
      </c>
      <c r="AX8" s="11">
        <f t="shared" si="8"/>
        <v>0.6</v>
      </c>
      <c r="AY8" s="22">
        <f t="shared" si="9"/>
        <v>2</v>
      </c>
    </row>
    <row r="9" spans="1:51">
      <c r="A9" s="110" t="s">
        <v>42</v>
      </c>
      <c r="B9" s="105">
        <v>45032</v>
      </c>
      <c r="C9" s="30">
        <v>7</v>
      </c>
      <c r="D9" s="30" t="s">
        <v>71</v>
      </c>
      <c r="E9" s="30" t="s">
        <v>49</v>
      </c>
      <c r="F9" s="30">
        <v>2</v>
      </c>
      <c r="G9" s="30">
        <v>0</v>
      </c>
      <c r="H9" s="30" t="s">
        <v>259</v>
      </c>
      <c r="I9" s="30" t="s">
        <v>251</v>
      </c>
      <c r="J9" s="30" t="s">
        <v>260</v>
      </c>
      <c r="K9" s="30" t="s">
        <v>31</v>
      </c>
      <c r="L9" s="15" t="s">
        <v>281</v>
      </c>
      <c r="M9" s="15" t="s">
        <v>300</v>
      </c>
      <c r="N9" s="15"/>
      <c r="O9" s="15"/>
      <c r="P9" s="15"/>
      <c r="Q9" s="15" t="s">
        <v>70</v>
      </c>
      <c r="R9" s="15"/>
      <c r="S9" s="15"/>
      <c r="T9" s="15"/>
      <c r="U9" s="15"/>
      <c r="V9" s="54"/>
      <c r="X9" s="72" t="s">
        <v>111</v>
      </c>
      <c r="Y9" s="81">
        <f t="shared" si="0"/>
        <v>4</v>
      </c>
      <c r="Z9" s="81">
        <f t="shared" si="1"/>
        <v>2</v>
      </c>
      <c r="AA9" s="51">
        <f t="shared" si="2"/>
        <v>6</v>
      </c>
      <c r="AC9" s="2" t="s">
        <v>45</v>
      </c>
      <c r="AD9" s="2" t="s">
        <v>250</v>
      </c>
      <c r="AE9" s="2">
        <f>SUM(AF9:AH9)</f>
        <v>8</v>
      </c>
      <c r="AF9" s="5">
        <f>COUNTIFS(E:E,AC9,H:H,AD9,K:K,AF$8)</f>
        <v>1</v>
      </c>
      <c r="AG9" s="5">
        <f>COUNTIFS(E:E,AC9,H:H,AD9,K:K,AG$8)</f>
        <v>5</v>
      </c>
      <c r="AH9" s="5">
        <f>COUNTIFS(E:E,AC9,H:H,AD9,K:K,AH$8)</f>
        <v>2</v>
      </c>
      <c r="AI9" s="8">
        <f>AF9*3+AG9</f>
        <v>8</v>
      </c>
      <c r="AJ9" s="9">
        <f>AF9/AE9</f>
        <v>0.125</v>
      </c>
      <c r="AK9" s="22">
        <f>AI9/AE9</f>
        <v>1</v>
      </c>
      <c r="AR9" s="20" t="s">
        <v>248</v>
      </c>
      <c r="AS9" s="2">
        <f t="shared" si="3"/>
        <v>3</v>
      </c>
      <c r="AT9" s="5">
        <f t="shared" si="4"/>
        <v>0</v>
      </c>
      <c r="AU9" s="6">
        <f t="shared" si="5"/>
        <v>2</v>
      </c>
      <c r="AV9" s="7">
        <f t="shared" si="6"/>
        <v>1</v>
      </c>
      <c r="AW9" s="8">
        <f t="shared" si="7"/>
        <v>2</v>
      </c>
      <c r="AX9" s="11">
        <f t="shared" si="8"/>
        <v>0</v>
      </c>
      <c r="AY9" s="22">
        <f t="shared" si="9"/>
        <v>0.66666666666666663</v>
      </c>
    </row>
    <row r="10" spans="1:51">
      <c r="A10" s="110" t="s">
        <v>42</v>
      </c>
      <c r="B10" s="105">
        <v>45038</v>
      </c>
      <c r="C10" s="30">
        <v>8</v>
      </c>
      <c r="D10" s="30" t="s">
        <v>246</v>
      </c>
      <c r="E10" s="30" t="s">
        <v>45</v>
      </c>
      <c r="F10" s="30">
        <v>2</v>
      </c>
      <c r="G10" s="30">
        <v>2</v>
      </c>
      <c r="H10" s="30" t="s">
        <v>247</v>
      </c>
      <c r="I10" s="30" t="s">
        <v>248</v>
      </c>
      <c r="J10" s="30" t="s">
        <v>305</v>
      </c>
      <c r="K10" s="30" t="s">
        <v>32</v>
      </c>
      <c r="L10" s="15" t="s">
        <v>271</v>
      </c>
      <c r="M10" s="15" t="s">
        <v>271</v>
      </c>
      <c r="N10" s="15"/>
      <c r="O10" s="15"/>
      <c r="P10" s="15"/>
      <c r="Q10" s="15" t="s">
        <v>300</v>
      </c>
      <c r="R10" s="15" t="s">
        <v>112</v>
      </c>
      <c r="S10" s="15"/>
      <c r="T10" s="15"/>
      <c r="U10" s="15"/>
      <c r="V10" s="92">
        <v>8215</v>
      </c>
      <c r="X10" s="72" t="s">
        <v>156</v>
      </c>
      <c r="Y10" s="81">
        <f t="shared" si="0"/>
        <v>2</v>
      </c>
      <c r="Z10" s="81">
        <f t="shared" si="1"/>
        <v>1</v>
      </c>
      <c r="AA10" s="51">
        <f t="shared" si="2"/>
        <v>3</v>
      </c>
      <c r="AC10" s="2" t="s">
        <v>45</v>
      </c>
      <c r="AD10" s="2" t="s">
        <v>252</v>
      </c>
      <c r="AE10" s="2">
        <f>SUM(AF10:AH10)</f>
        <v>10</v>
      </c>
      <c r="AF10" s="5">
        <f>COUNTIFS(E:E,AC10,H:H,AD10,K:K,AF$8)</f>
        <v>5</v>
      </c>
      <c r="AG10" s="5">
        <f>COUNTIFS(E:E,AC10,H:H,AD10,K:K,AG$8)</f>
        <v>3</v>
      </c>
      <c r="AH10" s="5">
        <f>COUNTIFS(E:E,AC10,H:H,AD10,K:K,AH$8)</f>
        <v>2</v>
      </c>
      <c r="AI10" s="8">
        <f>AF10*3+AG10</f>
        <v>18</v>
      </c>
      <c r="AJ10" s="9">
        <f>AF10/AE10</f>
        <v>0.5</v>
      </c>
      <c r="AK10" s="22">
        <f>AI10/AE10</f>
        <v>1.8</v>
      </c>
      <c r="AR10" s="20" t="s">
        <v>306</v>
      </c>
      <c r="AS10" s="2">
        <f t="shared" si="3"/>
        <v>2</v>
      </c>
      <c r="AT10" s="5">
        <f t="shared" si="4"/>
        <v>0</v>
      </c>
      <c r="AU10" s="6">
        <f t="shared" si="5"/>
        <v>1</v>
      </c>
      <c r="AV10" s="7">
        <f t="shared" si="6"/>
        <v>1</v>
      </c>
      <c r="AW10" s="8">
        <f t="shared" si="7"/>
        <v>1</v>
      </c>
      <c r="AX10" s="11">
        <f t="shared" si="8"/>
        <v>0</v>
      </c>
      <c r="AY10" s="22">
        <f t="shared" si="9"/>
        <v>0.5</v>
      </c>
    </row>
    <row r="11" spans="1:51">
      <c r="A11" s="110" t="s">
        <v>42</v>
      </c>
      <c r="B11" s="105">
        <v>45041</v>
      </c>
      <c r="C11" s="30">
        <v>9</v>
      </c>
      <c r="D11" s="30" t="s">
        <v>55</v>
      </c>
      <c r="E11" s="30" t="s">
        <v>45</v>
      </c>
      <c r="F11" s="30">
        <v>0</v>
      </c>
      <c r="G11" s="30">
        <v>1</v>
      </c>
      <c r="H11" s="30" t="s">
        <v>252</v>
      </c>
      <c r="I11" s="30" t="s">
        <v>257</v>
      </c>
      <c r="J11" s="30" t="s">
        <v>254</v>
      </c>
      <c r="K11" s="30" t="s">
        <v>33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92">
        <v>5326</v>
      </c>
      <c r="X11" s="72" t="s">
        <v>307</v>
      </c>
      <c r="Y11" s="81">
        <f t="shared" si="0"/>
        <v>0</v>
      </c>
      <c r="Z11" s="81">
        <f t="shared" si="1"/>
        <v>0</v>
      </c>
      <c r="AA11" s="51">
        <f t="shared" si="2"/>
        <v>0</v>
      </c>
      <c r="AC11" s="2" t="s">
        <v>45</v>
      </c>
      <c r="AD11" s="2" t="s">
        <v>256</v>
      </c>
      <c r="AE11" s="2">
        <f>SUM(AF11:AH11)</f>
        <v>2</v>
      </c>
      <c r="AF11" s="5">
        <f>COUNTIFS(E:E,AC11,H:H,AD11,K:K,AF$8)</f>
        <v>2</v>
      </c>
      <c r="AG11" s="5">
        <f>COUNTIFS(E:E,AC11,H:H,AD11,K:K,AG$8)</f>
        <v>0</v>
      </c>
      <c r="AH11" s="5">
        <f>COUNTIFS(E:E,AC11,H:H,AD11,K:K,AH$8)</f>
        <v>0</v>
      </c>
      <c r="AI11" s="8">
        <f>AF11*3+AG11</f>
        <v>6</v>
      </c>
      <c r="AJ11" s="9">
        <f>AF11/AE11</f>
        <v>1</v>
      </c>
      <c r="AK11" s="22">
        <f>AI11/AE11</f>
        <v>3</v>
      </c>
      <c r="AR11" s="20" t="s">
        <v>308</v>
      </c>
      <c r="AS11" s="2">
        <f t="shared" si="3"/>
        <v>2</v>
      </c>
      <c r="AT11" s="5">
        <f t="shared" si="4"/>
        <v>0</v>
      </c>
      <c r="AU11" s="6">
        <f t="shared" si="5"/>
        <v>1</v>
      </c>
      <c r="AV11" s="7">
        <f t="shared" si="6"/>
        <v>1</v>
      </c>
      <c r="AW11" s="8">
        <f t="shared" si="7"/>
        <v>1</v>
      </c>
      <c r="AX11" s="11">
        <f t="shared" si="8"/>
        <v>0</v>
      </c>
      <c r="AY11" s="22">
        <f t="shared" si="9"/>
        <v>0.5</v>
      </c>
    </row>
    <row r="12" spans="1:51">
      <c r="A12" s="110" t="s">
        <v>42</v>
      </c>
      <c r="B12" s="105">
        <v>45046</v>
      </c>
      <c r="C12" s="30">
        <v>10</v>
      </c>
      <c r="D12" s="30" t="s">
        <v>57</v>
      </c>
      <c r="E12" s="30" t="s">
        <v>49</v>
      </c>
      <c r="F12" s="30">
        <v>2</v>
      </c>
      <c r="G12" s="30">
        <v>0</v>
      </c>
      <c r="H12" s="30" t="s">
        <v>252</v>
      </c>
      <c r="I12" s="30" t="s">
        <v>257</v>
      </c>
      <c r="J12" s="30" t="s">
        <v>263</v>
      </c>
      <c r="K12" s="30" t="s">
        <v>31</v>
      </c>
      <c r="L12" s="15" t="s">
        <v>93</v>
      </c>
      <c r="M12" s="15" t="s">
        <v>271</v>
      </c>
      <c r="N12" s="15"/>
      <c r="O12" s="15"/>
      <c r="P12" s="15"/>
      <c r="Q12" s="15" t="s">
        <v>143</v>
      </c>
      <c r="R12" s="15" t="s">
        <v>70</v>
      </c>
      <c r="S12" s="15"/>
      <c r="T12" s="15"/>
      <c r="U12" s="15"/>
      <c r="V12" s="54"/>
      <c r="X12" s="72" t="s">
        <v>54</v>
      </c>
      <c r="Y12" s="81">
        <f t="shared" si="0"/>
        <v>2</v>
      </c>
      <c r="Z12" s="81">
        <f t="shared" si="1"/>
        <v>0</v>
      </c>
      <c r="AA12" s="51">
        <f t="shared" si="2"/>
        <v>2</v>
      </c>
      <c r="AC12" s="2" t="s">
        <v>45</v>
      </c>
      <c r="AD12" s="2" t="s">
        <v>303</v>
      </c>
      <c r="AE12" s="2">
        <f>SUM(AF12:AH12)</f>
        <v>3</v>
      </c>
      <c r="AF12" s="5">
        <f>COUNTIFS(E:E,AC12,H:H,AD12,K:K,AF$8)</f>
        <v>2</v>
      </c>
      <c r="AG12" s="5">
        <f>COUNTIFS(E:E,AC12,H:H,AD12,K:K,AG$8)</f>
        <v>0</v>
      </c>
      <c r="AH12" s="5">
        <f>COUNTIFS(E:E,AC12,H:H,AD12,K:K,AH$8)</f>
        <v>1</v>
      </c>
      <c r="AI12" s="8">
        <f>AF12*3+AG12</f>
        <v>6</v>
      </c>
      <c r="AJ12" s="9">
        <f>AF12/AE12</f>
        <v>0.66666666666666663</v>
      </c>
      <c r="AK12" s="22">
        <f>AI12/AE12</f>
        <v>2</v>
      </c>
      <c r="AR12" s="20" t="s">
        <v>262</v>
      </c>
      <c r="AS12" s="2">
        <f t="shared" si="3"/>
        <v>4</v>
      </c>
      <c r="AT12" s="5">
        <f t="shared" si="4"/>
        <v>2</v>
      </c>
      <c r="AU12" s="6">
        <f t="shared" si="5"/>
        <v>2</v>
      </c>
      <c r="AV12" s="7">
        <f t="shared" si="6"/>
        <v>0</v>
      </c>
      <c r="AW12" s="8">
        <f t="shared" si="7"/>
        <v>8</v>
      </c>
      <c r="AX12" s="11">
        <f t="shared" si="8"/>
        <v>0.5</v>
      </c>
      <c r="AY12" s="22">
        <f t="shared" si="9"/>
        <v>2</v>
      </c>
    </row>
    <row r="13" spans="1:51">
      <c r="A13" s="110" t="s">
        <v>42</v>
      </c>
      <c r="B13" s="105">
        <v>45051</v>
      </c>
      <c r="C13" s="30">
        <v>11</v>
      </c>
      <c r="D13" s="30" t="s">
        <v>142</v>
      </c>
      <c r="E13" s="30" t="s">
        <v>45</v>
      </c>
      <c r="F13" s="30">
        <v>0</v>
      </c>
      <c r="G13" s="30">
        <v>1</v>
      </c>
      <c r="H13" s="30" t="s">
        <v>247</v>
      </c>
      <c r="I13" s="30" t="s">
        <v>308</v>
      </c>
      <c r="J13" s="30" t="s">
        <v>249</v>
      </c>
      <c r="K13" s="30" t="s">
        <v>33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92">
        <v>8637</v>
      </c>
      <c r="X13" s="72" t="s">
        <v>269</v>
      </c>
      <c r="Y13" s="81">
        <f t="shared" si="0"/>
        <v>0</v>
      </c>
      <c r="Z13" s="81">
        <f t="shared" si="1"/>
        <v>0</v>
      </c>
      <c r="AA13" s="51">
        <f t="shared" si="2"/>
        <v>0</v>
      </c>
      <c r="AC13" s="2" t="s">
        <v>45</v>
      </c>
      <c r="AD13" s="2" t="s">
        <v>304</v>
      </c>
      <c r="AE13" s="2">
        <f>SUM(AF13:AH13)</f>
        <v>2</v>
      </c>
      <c r="AF13" s="5">
        <f>COUNTIFS(E:E,AC13,H:H,AD13,K:K,AF$8)</f>
        <v>2</v>
      </c>
      <c r="AG13" s="5">
        <f>COUNTIFS(E:E,AC13,H:H,AD13,K:K,AG$8)</f>
        <v>0</v>
      </c>
      <c r="AH13" s="5">
        <f>COUNTIFS(E:E,AC13,H:H,AD13,K:K,AH$8)</f>
        <v>0</v>
      </c>
      <c r="AI13" s="8">
        <f>AF13*3+AG13</f>
        <v>6</v>
      </c>
      <c r="AJ13" s="9">
        <f>AF13/AE13</f>
        <v>1</v>
      </c>
      <c r="AK13" s="22">
        <f>AI13/AE13</f>
        <v>3</v>
      </c>
      <c r="AR13" s="20" t="s">
        <v>309</v>
      </c>
      <c r="AS13" s="2">
        <f t="shared" si="3"/>
        <v>1</v>
      </c>
      <c r="AT13" s="5">
        <f t="shared" si="4"/>
        <v>0</v>
      </c>
      <c r="AU13" s="6">
        <f t="shared" si="5"/>
        <v>1</v>
      </c>
      <c r="AV13" s="7">
        <f t="shared" si="6"/>
        <v>0</v>
      </c>
      <c r="AW13" s="8">
        <f t="shared" si="7"/>
        <v>1</v>
      </c>
      <c r="AX13" s="11">
        <f t="shared" si="8"/>
        <v>0</v>
      </c>
      <c r="AY13" s="22">
        <f t="shared" si="9"/>
        <v>1</v>
      </c>
    </row>
    <row r="14" spans="1:51">
      <c r="A14" s="110" t="s">
        <v>42</v>
      </c>
      <c r="B14" s="106">
        <v>45056</v>
      </c>
      <c r="C14" s="24">
        <v>12</v>
      </c>
      <c r="D14" s="24" t="s">
        <v>77</v>
      </c>
      <c r="E14" s="24" t="s">
        <v>49</v>
      </c>
      <c r="F14" s="24">
        <v>0</v>
      </c>
      <c r="G14" s="24">
        <v>2</v>
      </c>
      <c r="H14" s="24" t="s">
        <v>259</v>
      </c>
      <c r="I14" s="24" t="s">
        <v>257</v>
      </c>
      <c r="J14" s="24" t="s">
        <v>254</v>
      </c>
      <c r="K14" s="24" t="s">
        <v>33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9"/>
      <c r="X14" s="83" t="s">
        <v>261</v>
      </c>
      <c r="Y14" s="81">
        <f t="shared" si="0"/>
        <v>0</v>
      </c>
      <c r="Z14" s="81">
        <f t="shared" si="1"/>
        <v>1</v>
      </c>
      <c r="AA14" s="51">
        <f t="shared" si="2"/>
        <v>1</v>
      </c>
      <c r="AR14" s="20" t="s">
        <v>310</v>
      </c>
      <c r="AS14" s="2">
        <f t="shared" si="3"/>
        <v>2</v>
      </c>
      <c r="AT14" s="5">
        <f t="shared" si="4"/>
        <v>2</v>
      </c>
      <c r="AU14" s="6">
        <f t="shared" si="5"/>
        <v>0</v>
      </c>
      <c r="AV14" s="7">
        <f t="shared" si="6"/>
        <v>0</v>
      </c>
      <c r="AW14" s="8">
        <f t="shared" si="7"/>
        <v>6</v>
      </c>
      <c r="AX14" s="11">
        <f t="shared" si="8"/>
        <v>1</v>
      </c>
      <c r="AY14" s="22">
        <f t="shared" si="9"/>
        <v>3</v>
      </c>
    </row>
    <row r="15" spans="1:51">
      <c r="A15" s="110" t="s">
        <v>42</v>
      </c>
      <c r="B15" s="106">
        <v>45060</v>
      </c>
      <c r="C15" s="24">
        <v>13</v>
      </c>
      <c r="D15" s="24" t="s">
        <v>67</v>
      </c>
      <c r="E15" s="24" t="s">
        <v>45</v>
      </c>
      <c r="F15" s="24">
        <v>0</v>
      </c>
      <c r="G15" s="24">
        <v>0</v>
      </c>
      <c r="H15" s="24" t="s">
        <v>247</v>
      </c>
      <c r="I15" s="24" t="s">
        <v>301</v>
      </c>
      <c r="J15" s="24" t="s">
        <v>249</v>
      </c>
      <c r="K15" s="24" t="s">
        <v>32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111">
        <v>15738</v>
      </c>
      <c r="X15" s="83" t="s">
        <v>264</v>
      </c>
      <c r="Y15" s="81">
        <f t="shared" si="0"/>
        <v>0</v>
      </c>
      <c r="Z15" s="81">
        <f t="shared" si="1"/>
        <v>0</v>
      </c>
      <c r="AA15" s="51">
        <f t="shared" si="2"/>
        <v>0</v>
      </c>
      <c r="AC15" s="4" t="s">
        <v>7</v>
      </c>
      <c r="AD15" s="4" t="s">
        <v>11</v>
      </c>
      <c r="AE15" s="4" t="s">
        <v>30</v>
      </c>
      <c r="AF15" s="4" t="s">
        <v>31</v>
      </c>
      <c r="AG15" s="4" t="s">
        <v>32</v>
      </c>
      <c r="AH15" s="4" t="s">
        <v>33</v>
      </c>
      <c r="AI15" s="4" t="s">
        <v>34</v>
      </c>
      <c r="AJ15" s="4" t="s">
        <v>35</v>
      </c>
      <c r="AK15" s="4" t="s">
        <v>138</v>
      </c>
      <c r="AR15" s="20" t="s">
        <v>311</v>
      </c>
      <c r="AS15" s="2">
        <f t="shared" si="3"/>
        <v>1</v>
      </c>
      <c r="AT15" s="5">
        <f t="shared" si="4"/>
        <v>0</v>
      </c>
      <c r="AU15" s="6">
        <f t="shared" si="5"/>
        <v>0</v>
      </c>
      <c r="AV15" s="7">
        <f t="shared" si="6"/>
        <v>1</v>
      </c>
      <c r="AW15" s="8">
        <f t="shared" si="7"/>
        <v>0</v>
      </c>
      <c r="AX15" s="11">
        <f t="shared" si="8"/>
        <v>0</v>
      </c>
      <c r="AY15" s="22">
        <f t="shared" si="9"/>
        <v>0</v>
      </c>
    </row>
    <row r="16" spans="1:51">
      <c r="A16" s="110" t="s">
        <v>42</v>
      </c>
      <c r="B16" s="106">
        <v>45066</v>
      </c>
      <c r="C16" s="24">
        <v>14</v>
      </c>
      <c r="D16" s="24" t="s">
        <v>48</v>
      </c>
      <c r="E16" s="24" t="s">
        <v>45</v>
      </c>
      <c r="F16" s="24">
        <v>1</v>
      </c>
      <c r="G16" s="24">
        <v>1</v>
      </c>
      <c r="H16" s="24" t="s">
        <v>252</v>
      </c>
      <c r="I16" s="24" t="s">
        <v>257</v>
      </c>
      <c r="J16" s="24" t="s">
        <v>254</v>
      </c>
      <c r="K16" s="24" t="s">
        <v>32</v>
      </c>
      <c r="L16" s="58" t="s">
        <v>280</v>
      </c>
      <c r="M16" s="58"/>
      <c r="N16" s="58"/>
      <c r="O16" s="58"/>
      <c r="P16" s="58"/>
      <c r="Q16" s="58"/>
      <c r="R16" s="58"/>
      <c r="S16" s="58"/>
      <c r="T16" s="58"/>
      <c r="U16" s="58"/>
      <c r="V16" s="93">
        <v>6663</v>
      </c>
      <c r="X16" s="70" t="s">
        <v>73</v>
      </c>
      <c r="Y16" s="81">
        <f t="shared" si="0"/>
        <v>2</v>
      </c>
      <c r="Z16" s="81">
        <f t="shared" si="1"/>
        <v>1</v>
      </c>
      <c r="AA16" s="51">
        <f t="shared" si="2"/>
        <v>3</v>
      </c>
      <c r="AC16" s="2" t="s">
        <v>49</v>
      </c>
      <c r="AD16" s="2" t="s">
        <v>250</v>
      </c>
      <c r="AE16" s="2">
        <f>SUM(AF16:AH16)</f>
        <v>6</v>
      </c>
      <c r="AF16" s="5">
        <f>COUNTIFS(E:E,AC16,H:H,AD16,K:K,AF$15)</f>
        <v>1</v>
      </c>
      <c r="AG16" s="5">
        <f>COUNTIFS(E:E,AC16,H:H,AD16,K:K,AG$15)</f>
        <v>3</v>
      </c>
      <c r="AH16" s="5">
        <f>COUNTIFS(E:E,AC16,H:H,AD16,K:K,AH$15)</f>
        <v>2</v>
      </c>
      <c r="AI16" s="8">
        <f>AF16*3+AG16</f>
        <v>6</v>
      </c>
      <c r="AJ16" s="9">
        <f>AF16/AE16</f>
        <v>0.16666666666666666</v>
      </c>
      <c r="AK16" s="22">
        <f>AI16/AE16</f>
        <v>1</v>
      </c>
      <c r="AR16" s="20" t="s">
        <v>306</v>
      </c>
      <c r="AS16" s="2">
        <f t="shared" si="3"/>
        <v>2</v>
      </c>
      <c r="AT16" s="5">
        <f t="shared" si="4"/>
        <v>0</v>
      </c>
      <c r="AU16" s="6">
        <f t="shared" si="5"/>
        <v>1</v>
      </c>
      <c r="AV16" s="7">
        <f t="shared" si="6"/>
        <v>1</v>
      </c>
      <c r="AW16" s="8">
        <f t="shared" si="7"/>
        <v>1</v>
      </c>
      <c r="AX16" s="11">
        <f t="shared" si="8"/>
        <v>0</v>
      </c>
      <c r="AY16" s="22">
        <f t="shared" si="9"/>
        <v>0.5</v>
      </c>
    </row>
    <row r="17" spans="1:51">
      <c r="A17" s="110" t="s">
        <v>42</v>
      </c>
      <c r="B17" s="106">
        <v>45073</v>
      </c>
      <c r="C17" s="24">
        <v>15</v>
      </c>
      <c r="D17" s="24" t="s">
        <v>265</v>
      </c>
      <c r="E17" s="24" t="s">
        <v>49</v>
      </c>
      <c r="F17" s="24">
        <v>2</v>
      </c>
      <c r="G17" s="24">
        <v>2</v>
      </c>
      <c r="H17" s="24" t="s">
        <v>247</v>
      </c>
      <c r="I17" s="24" t="s">
        <v>301</v>
      </c>
      <c r="J17" s="24" t="s">
        <v>249</v>
      </c>
      <c r="K17" s="24" t="s">
        <v>32</v>
      </c>
      <c r="L17" s="58" t="s">
        <v>171</v>
      </c>
      <c r="M17" s="58" t="s">
        <v>111</v>
      </c>
      <c r="N17" s="58"/>
      <c r="O17" s="58"/>
      <c r="P17" s="58"/>
      <c r="Q17" s="58" t="s">
        <v>143</v>
      </c>
      <c r="R17" s="58" t="s">
        <v>170</v>
      </c>
      <c r="S17" s="58"/>
      <c r="T17" s="58"/>
      <c r="U17" s="58"/>
      <c r="V17" s="59"/>
      <c r="X17" s="70" t="s">
        <v>170</v>
      </c>
      <c r="Y17" s="81">
        <f t="shared" si="0"/>
        <v>3</v>
      </c>
      <c r="Z17" s="81">
        <f t="shared" si="1"/>
        <v>5</v>
      </c>
      <c r="AA17" s="51">
        <f t="shared" si="2"/>
        <v>8</v>
      </c>
      <c r="AC17" s="2" t="s">
        <v>49</v>
      </c>
      <c r="AD17" s="2" t="s">
        <v>252</v>
      </c>
      <c r="AE17" s="2">
        <f>SUM(AF17:AH17)</f>
        <v>8</v>
      </c>
      <c r="AF17" s="5">
        <f>COUNTIFS(E:E,AC17,H:H,AD17,K:K,AF$15)</f>
        <v>5</v>
      </c>
      <c r="AG17" s="5">
        <f>COUNTIFS(E:E,AC17,H:H,AD17,K:K,AG$15)</f>
        <v>1</v>
      </c>
      <c r="AH17" s="5">
        <f>COUNTIFS(E:E,AC17,H:H,AD17,K:K,AH$15)</f>
        <v>2</v>
      </c>
      <c r="AI17" s="8">
        <f>AF17*3+AG17</f>
        <v>16</v>
      </c>
      <c r="AJ17" s="9">
        <f>AF17/AE17</f>
        <v>0.625</v>
      </c>
      <c r="AK17" s="22">
        <f>AI17/AE17</f>
        <v>2</v>
      </c>
      <c r="AR17" s="20" t="s">
        <v>312</v>
      </c>
      <c r="AS17" s="2">
        <f t="shared" si="3"/>
        <v>1</v>
      </c>
      <c r="AT17" s="5">
        <f t="shared" si="4"/>
        <v>1</v>
      </c>
      <c r="AU17" s="6">
        <f t="shared" si="5"/>
        <v>0</v>
      </c>
      <c r="AV17" s="7">
        <f t="shared" si="6"/>
        <v>0</v>
      </c>
      <c r="AW17" s="8">
        <f t="shared" si="7"/>
        <v>3</v>
      </c>
      <c r="AX17" s="11">
        <f t="shared" si="8"/>
        <v>1</v>
      </c>
      <c r="AY17" s="22">
        <f t="shared" si="9"/>
        <v>3</v>
      </c>
    </row>
    <row r="18" spans="1:51">
      <c r="A18" s="110" t="s">
        <v>42</v>
      </c>
      <c r="B18" s="106">
        <v>45081</v>
      </c>
      <c r="C18" s="24">
        <v>16</v>
      </c>
      <c r="D18" s="24" t="s">
        <v>61</v>
      </c>
      <c r="E18" s="24" t="s">
        <v>49</v>
      </c>
      <c r="F18" s="24">
        <v>3</v>
      </c>
      <c r="G18" s="24">
        <v>1</v>
      </c>
      <c r="H18" s="24" t="s">
        <v>252</v>
      </c>
      <c r="I18" s="24" t="s">
        <v>257</v>
      </c>
      <c r="J18" s="24" t="s">
        <v>270</v>
      </c>
      <c r="K18" s="24" t="s">
        <v>31</v>
      </c>
      <c r="L18" s="58" t="s">
        <v>272</v>
      </c>
      <c r="M18" s="58" t="s">
        <v>143</v>
      </c>
      <c r="N18" s="58" t="s">
        <v>143</v>
      </c>
      <c r="O18" s="58"/>
      <c r="P18" s="58"/>
      <c r="Q18" s="58"/>
      <c r="R18" s="58" t="s">
        <v>272</v>
      </c>
      <c r="S18" s="58" t="s">
        <v>272</v>
      </c>
      <c r="T18" s="58"/>
      <c r="U18" s="58"/>
      <c r="V18" s="59"/>
      <c r="X18" s="70" t="s">
        <v>93</v>
      </c>
      <c r="Y18" s="81">
        <f t="shared" si="0"/>
        <v>2</v>
      </c>
      <c r="Z18" s="81">
        <f t="shared" si="1"/>
        <v>1</v>
      </c>
      <c r="AA18" s="51">
        <f t="shared" si="2"/>
        <v>3</v>
      </c>
      <c r="AC18" s="2" t="s">
        <v>49</v>
      </c>
      <c r="AD18" s="2" t="s">
        <v>256</v>
      </c>
      <c r="AE18" s="2">
        <f>SUM(AF18:AH18)</f>
        <v>6</v>
      </c>
      <c r="AF18" s="5">
        <f>COUNTIFS(E:E,AC18,H:H,AD18,K:K,AF$15)</f>
        <v>1</v>
      </c>
      <c r="AG18" s="5">
        <f>COUNTIFS(E:E,AC18,H:H,AD18,K:K,AG$15)</f>
        <v>2</v>
      </c>
      <c r="AH18" s="5">
        <f>COUNTIFS(E:E,AC18,H:H,AD18,K:K,AH$15)</f>
        <v>3</v>
      </c>
      <c r="AI18" s="8">
        <f>AF18*3+AG18</f>
        <v>5</v>
      </c>
      <c r="AJ18" s="9">
        <f>AF18/AE18</f>
        <v>0.16666666666666666</v>
      </c>
      <c r="AK18" s="22">
        <f>AI18/AE18</f>
        <v>0.83333333333333337</v>
      </c>
      <c r="AR18" s="4" t="s">
        <v>13</v>
      </c>
      <c r="AS18" s="4" t="s">
        <v>30</v>
      </c>
      <c r="AT18" s="4" t="s">
        <v>31</v>
      </c>
      <c r="AU18" s="4" t="s">
        <v>32</v>
      </c>
      <c r="AV18" s="4" t="s">
        <v>33</v>
      </c>
      <c r="AW18" s="4" t="s">
        <v>34</v>
      </c>
      <c r="AX18" s="4" t="s">
        <v>35</v>
      </c>
      <c r="AY18" s="4" t="s">
        <v>138</v>
      </c>
    </row>
    <row r="19" spans="1:51">
      <c r="A19" s="110" t="s">
        <v>42</v>
      </c>
      <c r="B19" s="106">
        <v>45084</v>
      </c>
      <c r="C19" s="24">
        <v>17</v>
      </c>
      <c r="D19" s="24" t="s">
        <v>44</v>
      </c>
      <c r="E19" s="24" t="s">
        <v>45</v>
      </c>
      <c r="F19" s="24">
        <v>1</v>
      </c>
      <c r="G19" s="24">
        <v>1</v>
      </c>
      <c r="H19" s="24" t="s">
        <v>247</v>
      </c>
      <c r="I19" s="24" t="s">
        <v>308</v>
      </c>
      <c r="J19" s="24" t="s">
        <v>249</v>
      </c>
      <c r="K19" s="24" t="s">
        <v>32</v>
      </c>
      <c r="L19" s="58" t="s">
        <v>70</v>
      </c>
      <c r="M19" s="58"/>
      <c r="N19" s="58"/>
      <c r="O19" s="58"/>
      <c r="P19" s="58"/>
      <c r="Q19" s="58" t="s">
        <v>143</v>
      </c>
      <c r="R19" s="58"/>
      <c r="S19" s="58"/>
      <c r="T19" s="58"/>
      <c r="U19" s="58"/>
      <c r="V19" s="93">
        <v>7272</v>
      </c>
      <c r="X19" s="70" t="s">
        <v>171</v>
      </c>
      <c r="Y19" s="81">
        <f t="shared" si="0"/>
        <v>1</v>
      </c>
      <c r="Z19" s="81">
        <f t="shared" si="1"/>
        <v>3</v>
      </c>
      <c r="AA19" s="51">
        <f t="shared" si="2"/>
        <v>4</v>
      </c>
      <c r="AC19" s="2" t="s">
        <v>49</v>
      </c>
      <c r="AD19" s="2" t="s">
        <v>303</v>
      </c>
      <c r="AE19" s="2">
        <f>SUM(AF19:AH19)</f>
        <v>3</v>
      </c>
      <c r="AF19" s="5">
        <f>COUNTIFS(E:E,AC19,H:H,AD19,K:K,AF$15)</f>
        <v>2</v>
      </c>
      <c r="AG19" s="5">
        <f>COUNTIFS(E:E,AC19,H:H,AD19,K:K,AG$15)</f>
        <v>0</v>
      </c>
      <c r="AH19" s="5">
        <f>COUNTIFS(E:E,AC19,H:H,AD19,K:K,AH$15)</f>
        <v>1</v>
      </c>
      <c r="AI19" s="8">
        <f>AF19*3+AG19</f>
        <v>6</v>
      </c>
      <c r="AJ19" s="9">
        <f>AF19/AE19</f>
        <v>0.66666666666666663</v>
      </c>
      <c r="AK19" s="22">
        <f>AI19/AE19</f>
        <v>2</v>
      </c>
      <c r="AR19" s="2" t="s">
        <v>260</v>
      </c>
      <c r="AS19" s="2">
        <f t="shared" ref="AS19:AS29" si="10">SUM(AT19:AV19)</f>
        <v>5</v>
      </c>
      <c r="AT19" s="5">
        <f>COUNTIFS(J:J,AR19,K:K,AT$18)</f>
        <v>2</v>
      </c>
      <c r="AU19" s="6">
        <f>COUNTIFS(J:J,AR19,K:K,AU$18)</f>
        <v>1</v>
      </c>
      <c r="AV19" s="7">
        <f>COUNTIFS(J:J,AR19,K:K,AV$18)</f>
        <v>2</v>
      </c>
      <c r="AW19" s="8">
        <f t="shared" ref="AW19:AW29" si="11">AT19*3+AU19</f>
        <v>7</v>
      </c>
      <c r="AX19" s="11">
        <f t="shared" ref="AX19:AX29" si="12">AT19/AS19</f>
        <v>0.4</v>
      </c>
      <c r="AY19" s="22">
        <f t="shared" ref="AY19:AY29" si="13">AW19/AS19</f>
        <v>1.4</v>
      </c>
    </row>
    <row r="20" spans="1:51">
      <c r="A20" s="110" t="s">
        <v>42</v>
      </c>
      <c r="B20" s="106">
        <v>45088</v>
      </c>
      <c r="C20" s="24">
        <v>18</v>
      </c>
      <c r="D20" s="24" t="s">
        <v>142</v>
      </c>
      <c r="E20" s="24" t="s">
        <v>49</v>
      </c>
      <c r="F20" s="24">
        <v>0</v>
      </c>
      <c r="G20" s="24">
        <v>0</v>
      </c>
      <c r="H20" s="24" t="s">
        <v>247</v>
      </c>
      <c r="I20" s="24" t="s">
        <v>248</v>
      </c>
      <c r="J20" s="24" t="s">
        <v>249</v>
      </c>
      <c r="K20" s="24" t="s">
        <v>32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9"/>
      <c r="X20" s="70" t="s">
        <v>313</v>
      </c>
      <c r="Y20" s="81">
        <f t="shared" si="0"/>
        <v>0</v>
      </c>
      <c r="Z20" s="81">
        <f t="shared" si="1"/>
        <v>0</v>
      </c>
      <c r="AA20" s="51">
        <f t="shared" si="2"/>
        <v>0</v>
      </c>
      <c r="AC20" s="2" t="s">
        <v>49</v>
      </c>
      <c r="AD20" s="2" t="s">
        <v>304</v>
      </c>
      <c r="AE20" s="2">
        <f>SUM(AF20:AH20)</f>
        <v>0</v>
      </c>
      <c r="AF20" s="5">
        <f>COUNTIFS(E:E,AC20,H:H,AD20,K:K,AF$15)</f>
        <v>0</v>
      </c>
      <c r="AG20" s="5">
        <f>COUNTIFS(E:E,AC20,H:H,AD20,K:K,AG$15)</f>
        <v>0</v>
      </c>
      <c r="AH20" s="5">
        <f>COUNTIFS(E:E,AC20,H:H,AD20,K:K,AH$15)</f>
        <v>0</v>
      </c>
      <c r="AI20" s="8">
        <f>AF20*3+AG20</f>
        <v>0</v>
      </c>
      <c r="AJ20" s="9"/>
      <c r="AK20" s="22"/>
      <c r="AR20" s="2" t="s">
        <v>263</v>
      </c>
      <c r="AS20" s="2">
        <f t="shared" si="10"/>
        <v>7</v>
      </c>
      <c r="AT20" s="5">
        <f>COUNTIFS(J:J,AR20,K:K,AT$18)</f>
        <v>4</v>
      </c>
      <c r="AU20" s="6">
        <f>COUNTIFS(J:J,AR20,K:K,AU$18)</f>
        <v>2</v>
      </c>
      <c r="AV20" s="7">
        <f>COUNTIFS(J:J,AR20,K:K,AV$18)</f>
        <v>1</v>
      </c>
      <c r="AW20" s="8">
        <f t="shared" si="11"/>
        <v>14</v>
      </c>
      <c r="AX20" s="11">
        <f t="shared" si="12"/>
        <v>0.5714285714285714</v>
      </c>
      <c r="AY20" s="22">
        <f t="shared" si="13"/>
        <v>2</v>
      </c>
    </row>
    <row r="21" spans="1:51">
      <c r="A21" s="110" t="s">
        <v>42</v>
      </c>
      <c r="B21" s="106">
        <v>45102</v>
      </c>
      <c r="C21" s="24">
        <v>19</v>
      </c>
      <c r="D21" s="24" t="s">
        <v>57</v>
      </c>
      <c r="E21" s="24" t="s">
        <v>45</v>
      </c>
      <c r="F21" s="24">
        <v>0</v>
      </c>
      <c r="G21" s="24">
        <v>1</v>
      </c>
      <c r="H21" s="24" t="s">
        <v>252</v>
      </c>
      <c r="I21" s="24" t="s">
        <v>257</v>
      </c>
      <c r="J21" s="24" t="s">
        <v>263</v>
      </c>
      <c r="K21" s="24" t="s">
        <v>33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93">
        <v>9367</v>
      </c>
      <c r="X21" s="70" t="s">
        <v>172</v>
      </c>
      <c r="Y21" s="81">
        <f t="shared" si="0"/>
        <v>0</v>
      </c>
      <c r="Z21" s="81">
        <f t="shared" si="1"/>
        <v>0</v>
      </c>
      <c r="AA21" s="51">
        <f t="shared" si="2"/>
        <v>0</v>
      </c>
      <c r="AC21" s="1"/>
      <c r="AD21" s="88"/>
      <c r="AE21" s="1"/>
      <c r="AF21" s="85"/>
      <c r="AG21" s="85"/>
      <c r="AH21" s="85"/>
      <c r="AI21" s="1"/>
      <c r="AJ21" s="86"/>
      <c r="AK21" s="87"/>
      <c r="AR21" s="2" t="s">
        <v>270</v>
      </c>
      <c r="AS21" s="2">
        <f t="shared" si="10"/>
        <v>4</v>
      </c>
      <c r="AT21" s="5">
        <f>COUNTIFS(J:J,AR21,K:K,AT18)</f>
        <v>3</v>
      </c>
      <c r="AU21" s="6">
        <f>COUNTIFS(J:J,AR21,K:K,AU18)</f>
        <v>0</v>
      </c>
      <c r="AV21" s="7">
        <f>COUNTIFS(J:J,AR21,K:K,AV18)</f>
        <v>1</v>
      </c>
      <c r="AW21" s="8">
        <f t="shared" si="11"/>
        <v>9</v>
      </c>
      <c r="AX21" s="11">
        <f t="shared" si="12"/>
        <v>0.75</v>
      </c>
      <c r="AY21" s="22">
        <f t="shared" si="13"/>
        <v>2.25</v>
      </c>
    </row>
    <row r="22" spans="1:51">
      <c r="A22" s="110" t="s">
        <v>42</v>
      </c>
      <c r="B22" s="106">
        <v>45109</v>
      </c>
      <c r="C22" s="24">
        <v>20</v>
      </c>
      <c r="D22" s="24" t="s">
        <v>71</v>
      </c>
      <c r="E22" s="24" t="s">
        <v>45</v>
      </c>
      <c r="F22" s="24">
        <v>1</v>
      </c>
      <c r="G22" s="24">
        <v>0</v>
      </c>
      <c r="H22" s="24" t="s">
        <v>252</v>
      </c>
      <c r="I22" s="24" t="s">
        <v>253</v>
      </c>
      <c r="J22" s="24" t="s">
        <v>263</v>
      </c>
      <c r="K22" s="24" t="s">
        <v>31</v>
      </c>
      <c r="L22" s="58" t="s">
        <v>156</v>
      </c>
      <c r="M22" s="58"/>
      <c r="N22" s="58"/>
      <c r="O22" s="58"/>
      <c r="P22" s="58"/>
      <c r="Q22" s="58" t="s">
        <v>170</v>
      </c>
      <c r="R22" s="58"/>
      <c r="S22" s="58"/>
      <c r="T22" s="58"/>
      <c r="U22" s="58"/>
      <c r="V22" s="93">
        <v>5076</v>
      </c>
      <c r="X22" s="70" t="s">
        <v>182</v>
      </c>
      <c r="Y22" s="81">
        <f t="shared" si="0"/>
        <v>0</v>
      </c>
      <c r="Z22" s="81">
        <f t="shared" si="1"/>
        <v>0</v>
      </c>
      <c r="AA22" s="51">
        <f t="shared" si="2"/>
        <v>0</v>
      </c>
      <c r="AR22" s="2" t="s">
        <v>254</v>
      </c>
      <c r="AS22" s="2">
        <f t="shared" si="10"/>
        <v>8</v>
      </c>
      <c r="AT22" s="5">
        <f>COUNTIFS(J:J,AR22,K:K,AT18)</f>
        <v>3</v>
      </c>
      <c r="AU22" s="6">
        <f>COUNTIFS(J:J,AR22,K:K,AU18)</f>
        <v>2</v>
      </c>
      <c r="AV22" s="7">
        <f>COUNTIFS(J:J,AR22,K:K,AV18)</f>
        <v>3</v>
      </c>
      <c r="AW22" s="8">
        <f t="shared" si="11"/>
        <v>11</v>
      </c>
      <c r="AX22" s="11">
        <f t="shared" si="12"/>
        <v>0.375</v>
      </c>
      <c r="AY22" s="22">
        <f t="shared" si="13"/>
        <v>1.375</v>
      </c>
    </row>
    <row r="23" spans="1:51">
      <c r="A23" s="110" t="s">
        <v>42</v>
      </c>
      <c r="B23" s="106">
        <v>45115</v>
      </c>
      <c r="C23" s="24">
        <v>21</v>
      </c>
      <c r="D23" s="24" t="s">
        <v>246</v>
      </c>
      <c r="E23" s="24" t="s">
        <v>49</v>
      </c>
      <c r="F23" s="24">
        <v>2</v>
      </c>
      <c r="G23" s="24">
        <v>2</v>
      </c>
      <c r="H23" s="24" t="s">
        <v>259</v>
      </c>
      <c r="I23" s="24" t="s">
        <v>306</v>
      </c>
      <c r="J23" s="24" t="s">
        <v>260</v>
      </c>
      <c r="K23" s="24" t="s">
        <v>32</v>
      </c>
      <c r="L23" s="58" t="s">
        <v>271</v>
      </c>
      <c r="M23" s="58" t="s">
        <v>314</v>
      </c>
      <c r="N23" s="58"/>
      <c r="O23" s="58"/>
      <c r="P23" s="58"/>
      <c r="Q23" s="58" t="s">
        <v>281</v>
      </c>
      <c r="R23" s="58"/>
      <c r="S23" s="58"/>
      <c r="T23" s="58"/>
      <c r="U23" s="58"/>
      <c r="V23" s="59"/>
      <c r="X23" s="70" t="s">
        <v>183</v>
      </c>
      <c r="Y23" s="81">
        <f t="shared" si="0"/>
        <v>0</v>
      </c>
      <c r="Z23" s="81">
        <f t="shared" si="1"/>
        <v>0</v>
      </c>
      <c r="AA23" s="51">
        <f t="shared" si="2"/>
        <v>0</v>
      </c>
      <c r="AR23" s="20" t="s">
        <v>249</v>
      </c>
      <c r="AS23" s="20">
        <f t="shared" si="10"/>
        <v>12</v>
      </c>
      <c r="AT23" s="5">
        <f t="shared" ref="AT23:AT29" si="14">COUNTIFS(J:J,AR23,K:K,$AT$18)</f>
        <v>2</v>
      </c>
      <c r="AU23" s="6">
        <f t="shared" ref="AU23:AU29" si="15">COUNTIFS(J:J,AR23,K:K,$AU$18)</f>
        <v>6</v>
      </c>
      <c r="AV23" s="7">
        <f t="shared" ref="AV23:AV29" si="16">COUNTIFS(J:J,AR23,K:K,AV$18)</f>
        <v>4</v>
      </c>
      <c r="AW23" s="26">
        <f t="shared" si="11"/>
        <v>12</v>
      </c>
      <c r="AX23" s="11">
        <f t="shared" si="12"/>
        <v>0.16666666666666666</v>
      </c>
      <c r="AY23" s="25">
        <f t="shared" si="13"/>
        <v>1</v>
      </c>
    </row>
    <row r="24" spans="1:51">
      <c r="A24" s="110" t="s">
        <v>42</v>
      </c>
      <c r="B24" s="106">
        <v>45119</v>
      </c>
      <c r="C24" s="24">
        <v>22</v>
      </c>
      <c r="D24" s="24" t="s">
        <v>55</v>
      </c>
      <c r="E24" s="24" t="s">
        <v>49</v>
      </c>
      <c r="F24" s="24">
        <v>2</v>
      </c>
      <c r="G24" s="24">
        <v>1</v>
      </c>
      <c r="H24" s="24" t="s">
        <v>252</v>
      </c>
      <c r="I24" s="24" t="s">
        <v>302</v>
      </c>
      <c r="J24" s="24" t="s">
        <v>254</v>
      </c>
      <c r="K24" s="24" t="s">
        <v>31</v>
      </c>
      <c r="L24" s="58" t="s">
        <v>143</v>
      </c>
      <c r="M24" s="58" t="s">
        <v>300</v>
      </c>
      <c r="N24" s="58"/>
      <c r="O24" s="58"/>
      <c r="P24" s="58"/>
      <c r="Q24" s="58" t="s">
        <v>300</v>
      </c>
      <c r="R24" s="58" t="s">
        <v>70</v>
      </c>
      <c r="S24" s="58"/>
      <c r="T24" s="58"/>
      <c r="U24" s="58"/>
      <c r="V24" s="59"/>
      <c r="X24" s="70" t="s">
        <v>281</v>
      </c>
      <c r="Y24" s="81">
        <f t="shared" si="0"/>
        <v>1</v>
      </c>
      <c r="Z24" s="81">
        <f t="shared" si="1"/>
        <v>2</v>
      </c>
      <c r="AA24" s="51">
        <f t="shared" si="2"/>
        <v>3</v>
      </c>
      <c r="AR24" s="20" t="s">
        <v>305</v>
      </c>
      <c r="AS24" s="20">
        <f t="shared" si="10"/>
        <v>4</v>
      </c>
      <c r="AT24" s="5">
        <f t="shared" si="14"/>
        <v>2</v>
      </c>
      <c r="AU24" s="6">
        <f t="shared" si="15"/>
        <v>1</v>
      </c>
      <c r="AV24" s="7">
        <f t="shared" si="16"/>
        <v>1</v>
      </c>
      <c r="AW24" s="26">
        <f t="shared" si="11"/>
        <v>7</v>
      </c>
      <c r="AX24" s="11">
        <f t="shared" si="12"/>
        <v>0.5</v>
      </c>
      <c r="AY24" s="25">
        <f t="shared" si="13"/>
        <v>1.75</v>
      </c>
    </row>
    <row r="25" spans="1:51">
      <c r="A25" s="110" t="s">
        <v>42</v>
      </c>
      <c r="B25" s="105">
        <v>45123</v>
      </c>
      <c r="C25" s="30">
        <v>23</v>
      </c>
      <c r="D25" s="30" t="s">
        <v>61</v>
      </c>
      <c r="E25" s="30" t="s">
        <v>45</v>
      </c>
      <c r="F25" s="30">
        <v>2</v>
      </c>
      <c r="G25" s="30">
        <v>0</v>
      </c>
      <c r="H25" s="30" t="s">
        <v>259</v>
      </c>
      <c r="I25" s="30" t="s">
        <v>302</v>
      </c>
      <c r="J25" s="30" t="s">
        <v>254</v>
      </c>
      <c r="K25" s="30" t="s">
        <v>31</v>
      </c>
      <c r="L25" s="15" t="s">
        <v>70</v>
      </c>
      <c r="M25" s="15" t="s">
        <v>300</v>
      </c>
      <c r="N25" s="15"/>
      <c r="O25" s="15"/>
      <c r="P25" s="15"/>
      <c r="Q25" s="15" t="s">
        <v>300</v>
      </c>
      <c r="R25" s="15" t="s">
        <v>70</v>
      </c>
      <c r="S25" s="15"/>
      <c r="T25" s="15"/>
      <c r="U25" s="15"/>
      <c r="V25" s="92">
        <v>8925</v>
      </c>
      <c r="X25" s="70" t="s">
        <v>279</v>
      </c>
      <c r="Y25" s="81">
        <f t="shared" si="0"/>
        <v>1</v>
      </c>
      <c r="Z25" s="81">
        <f t="shared" si="1"/>
        <v>1</v>
      </c>
      <c r="AA25" s="51">
        <f t="shared" si="2"/>
        <v>2</v>
      </c>
      <c r="AD25" s="4" t="s">
        <v>7</v>
      </c>
      <c r="AE25" s="4" t="s">
        <v>30</v>
      </c>
      <c r="AF25" s="4" t="s">
        <v>31</v>
      </c>
      <c r="AG25" s="4" t="s">
        <v>32</v>
      </c>
      <c r="AH25" s="4" t="s">
        <v>33</v>
      </c>
      <c r="AI25" s="4" t="s">
        <v>34</v>
      </c>
      <c r="AJ25" s="4" t="s">
        <v>35</v>
      </c>
      <c r="AK25" s="4" t="s">
        <v>8</v>
      </c>
      <c r="AL25" s="4" t="s">
        <v>9</v>
      </c>
      <c r="AM25" s="4" t="s">
        <v>36</v>
      </c>
      <c r="AN25" s="4" t="s">
        <v>37</v>
      </c>
      <c r="AO25" s="4" t="s">
        <v>38</v>
      </c>
      <c r="AP25" s="4" t="s">
        <v>39</v>
      </c>
      <c r="AR25" s="20" t="s">
        <v>315</v>
      </c>
      <c r="AS25" s="20">
        <f t="shared" si="10"/>
        <v>1</v>
      </c>
      <c r="AT25" s="5">
        <f t="shared" si="14"/>
        <v>0</v>
      </c>
      <c r="AU25" s="6">
        <f t="shared" si="15"/>
        <v>1</v>
      </c>
      <c r="AV25" s="7">
        <f t="shared" si="16"/>
        <v>0</v>
      </c>
      <c r="AW25" s="26">
        <f t="shared" si="11"/>
        <v>1</v>
      </c>
      <c r="AX25" s="11">
        <f t="shared" si="12"/>
        <v>0</v>
      </c>
      <c r="AY25" s="25">
        <f t="shared" si="13"/>
        <v>1</v>
      </c>
    </row>
    <row r="26" spans="1:51">
      <c r="A26" s="110" t="s">
        <v>42</v>
      </c>
      <c r="B26" s="105">
        <v>45129</v>
      </c>
      <c r="C26" s="30">
        <v>24</v>
      </c>
      <c r="D26" s="30" t="s">
        <v>44</v>
      </c>
      <c r="E26" s="30" t="s">
        <v>49</v>
      </c>
      <c r="F26" s="30">
        <v>1</v>
      </c>
      <c r="G26" s="30">
        <v>0</v>
      </c>
      <c r="H26" s="30" t="s">
        <v>252</v>
      </c>
      <c r="I26" s="30" t="s">
        <v>257</v>
      </c>
      <c r="J26" s="30" t="s">
        <v>270</v>
      </c>
      <c r="K26" s="30" t="s">
        <v>31</v>
      </c>
      <c r="L26" s="15" t="s">
        <v>272</v>
      </c>
      <c r="M26" s="15"/>
      <c r="N26" s="15"/>
      <c r="O26" s="15"/>
      <c r="P26" s="15"/>
      <c r="Q26" s="15" t="s">
        <v>70</v>
      </c>
      <c r="R26" s="15"/>
      <c r="S26" s="15"/>
      <c r="T26" s="15"/>
      <c r="U26" s="15"/>
      <c r="V26" s="54"/>
      <c r="X26" s="70" t="s">
        <v>112</v>
      </c>
      <c r="Y26" s="81">
        <f t="shared" si="0"/>
        <v>0</v>
      </c>
      <c r="Z26" s="81">
        <f t="shared" si="1"/>
        <v>3</v>
      </c>
      <c r="AA26" s="51">
        <f t="shared" si="2"/>
        <v>3</v>
      </c>
      <c r="AD26" s="2" t="s">
        <v>45</v>
      </c>
      <c r="AE26" s="2">
        <f>SUM(AF26:AH26)</f>
        <v>25</v>
      </c>
      <c r="AF26" s="5">
        <f>COUNTIFS(E:E,AD26,K:K,AF25)</f>
        <v>12</v>
      </c>
      <c r="AG26" s="6">
        <f>COUNTIFS(E:E,AD26,K:K,AG25)</f>
        <v>8</v>
      </c>
      <c r="AH26" s="7">
        <f>COUNTIFS(E:E,AD26,K:K,AH25)</f>
        <v>5</v>
      </c>
      <c r="AI26" s="26">
        <v>0</v>
      </c>
      <c r="AJ26" s="10">
        <f>AF26/AE26</f>
        <v>0.48</v>
      </c>
      <c r="AK26" s="2">
        <f>SUMIF(E:E,AD26,F:F)</f>
        <v>39</v>
      </c>
      <c r="AL26" s="2">
        <f>SUMIF(E:E,AD26,G:G)</f>
        <v>24</v>
      </c>
      <c r="AM26" s="2">
        <f>AK26-AL26</f>
        <v>15</v>
      </c>
      <c r="AN26" s="22">
        <f>AI26/AE26</f>
        <v>0</v>
      </c>
      <c r="AO26" s="22">
        <f>AK26/AE26</f>
        <v>1.56</v>
      </c>
      <c r="AP26" s="22">
        <f>AL26/AE26</f>
        <v>0.96</v>
      </c>
      <c r="AR26" s="20" t="s">
        <v>273</v>
      </c>
      <c r="AS26" s="20">
        <f t="shared" si="10"/>
        <v>1</v>
      </c>
      <c r="AT26" s="5">
        <f t="shared" si="14"/>
        <v>0</v>
      </c>
      <c r="AU26" s="6">
        <f t="shared" si="15"/>
        <v>1</v>
      </c>
      <c r="AV26" s="7">
        <f t="shared" si="16"/>
        <v>0</v>
      </c>
      <c r="AW26" s="26">
        <f t="shared" si="11"/>
        <v>1</v>
      </c>
      <c r="AX26" s="11">
        <f t="shared" si="12"/>
        <v>0</v>
      </c>
      <c r="AY26" s="25">
        <f t="shared" si="13"/>
        <v>1</v>
      </c>
    </row>
    <row r="27" spans="1:51">
      <c r="A27" s="110" t="s">
        <v>42</v>
      </c>
      <c r="B27" s="105">
        <v>45144</v>
      </c>
      <c r="C27" s="30">
        <v>25</v>
      </c>
      <c r="D27" s="30" t="s">
        <v>67</v>
      </c>
      <c r="E27" s="30" t="s">
        <v>49</v>
      </c>
      <c r="F27" s="30">
        <v>0</v>
      </c>
      <c r="G27" s="30">
        <v>2</v>
      </c>
      <c r="H27" s="30" t="s">
        <v>247</v>
      </c>
      <c r="I27" s="30" t="s">
        <v>301</v>
      </c>
      <c r="J27" s="30" t="s">
        <v>249</v>
      </c>
      <c r="K27" s="30" t="s">
        <v>33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4"/>
      <c r="X27" s="70" t="s">
        <v>268</v>
      </c>
      <c r="Y27" s="81">
        <f t="shared" si="0"/>
        <v>2</v>
      </c>
      <c r="Z27" s="81">
        <f t="shared" si="1"/>
        <v>1</v>
      </c>
      <c r="AA27" s="51">
        <f t="shared" si="2"/>
        <v>3</v>
      </c>
      <c r="AD27" s="2" t="s">
        <v>49</v>
      </c>
      <c r="AE27" s="2">
        <f>SUM(AF27:AH27)</f>
        <v>23</v>
      </c>
      <c r="AF27" s="5">
        <f>COUNTIFS(E:E,AD27,K:K,AF25)</f>
        <v>9</v>
      </c>
      <c r="AG27" s="6">
        <f>COUNTIFS(E:E,AD27,K:K,AG25)</f>
        <v>6</v>
      </c>
      <c r="AH27" s="7">
        <f>COUNTIFS(E:E,AD27,K:K,AH25)</f>
        <v>8</v>
      </c>
      <c r="AI27" s="26">
        <v>0</v>
      </c>
      <c r="AJ27" s="23">
        <f>AF27/AE27</f>
        <v>0.39130434782608697</v>
      </c>
      <c r="AK27" s="2">
        <f>SUMIF(E:E,AD27,F:F)</f>
        <v>31</v>
      </c>
      <c r="AL27" s="2">
        <f>SUMIF(E:E,AD27,G:G)</f>
        <v>33</v>
      </c>
      <c r="AM27" s="2">
        <f>AK27-AL27</f>
        <v>-2</v>
      </c>
      <c r="AN27" s="22">
        <f>AI27/AE27</f>
        <v>0</v>
      </c>
      <c r="AO27" s="22">
        <f>AK27/AE27</f>
        <v>1.3478260869565217</v>
      </c>
      <c r="AP27" s="22">
        <f>AL27/AE27</f>
        <v>1.4347826086956521</v>
      </c>
      <c r="AR27" s="20" t="s">
        <v>316</v>
      </c>
      <c r="AS27" s="20">
        <f t="shared" si="10"/>
        <v>1</v>
      </c>
      <c r="AT27" s="5">
        <f t="shared" si="14"/>
        <v>1</v>
      </c>
      <c r="AU27" s="6">
        <f t="shared" si="15"/>
        <v>0</v>
      </c>
      <c r="AV27" s="7">
        <f t="shared" si="16"/>
        <v>0</v>
      </c>
      <c r="AW27" s="26">
        <f t="shared" si="11"/>
        <v>3</v>
      </c>
      <c r="AX27" s="11">
        <f t="shared" si="12"/>
        <v>1</v>
      </c>
      <c r="AY27" s="25">
        <f t="shared" si="13"/>
        <v>3</v>
      </c>
    </row>
    <row r="28" spans="1:51">
      <c r="A28" s="110" t="s">
        <v>42</v>
      </c>
      <c r="B28" s="105">
        <v>45151</v>
      </c>
      <c r="C28" s="30">
        <v>26</v>
      </c>
      <c r="D28" s="30" t="s">
        <v>265</v>
      </c>
      <c r="E28" s="30" t="s">
        <v>45</v>
      </c>
      <c r="F28" s="30">
        <v>3</v>
      </c>
      <c r="G28" s="30">
        <v>1</v>
      </c>
      <c r="H28" s="30" t="s">
        <v>259</v>
      </c>
      <c r="I28" s="30" t="s">
        <v>251</v>
      </c>
      <c r="J28" s="30" t="s">
        <v>260</v>
      </c>
      <c r="K28" s="30" t="s">
        <v>31</v>
      </c>
      <c r="L28" s="15" t="s">
        <v>46</v>
      </c>
      <c r="M28" s="15" t="s">
        <v>93</v>
      </c>
      <c r="N28" s="15" t="s">
        <v>70</v>
      </c>
      <c r="O28" s="15"/>
      <c r="P28" s="15"/>
      <c r="Q28" s="15" t="s">
        <v>70</v>
      </c>
      <c r="R28" s="15" t="s">
        <v>73</v>
      </c>
      <c r="S28" s="15" t="s">
        <v>46</v>
      </c>
      <c r="T28" s="15"/>
      <c r="U28" s="15"/>
      <c r="V28" s="92">
        <v>9349</v>
      </c>
      <c r="X28" s="70" t="s">
        <v>220</v>
      </c>
      <c r="Y28" s="81">
        <f t="shared" si="0"/>
        <v>0</v>
      </c>
      <c r="Z28" s="81">
        <f t="shared" si="1"/>
        <v>0</v>
      </c>
      <c r="AA28" s="51">
        <f t="shared" si="2"/>
        <v>0</v>
      </c>
      <c r="AD28" s="13" t="s">
        <v>60</v>
      </c>
      <c r="AE28" s="13">
        <f>SUM(AE26:AE27)</f>
        <v>48</v>
      </c>
      <c r="AF28" s="13">
        <f>SUM(AF26:AF27)</f>
        <v>21</v>
      </c>
      <c r="AG28" s="13">
        <f>SUM(AG26:AG27)</f>
        <v>14</v>
      </c>
      <c r="AH28" s="13">
        <f>SUM(AH26:AH27)</f>
        <v>13</v>
      </c>
      <c r="AI28" s="13">
        <f>SUM(AI26:AI27)</f>
        <v>0</v>
      </c>
      <c r="AJ28" s="14">
        <f>AF28/AE28</f>
        <v>0.4375</v>
      </c>
      <c r="AK28" s="13">
        <f>SUM(AK26:AK27)</f>
        <v>70</v>
      </c>
      <c r="AL28" s="13">
        <f>SUM(AL26:AL27)</f>
        <v>57</v>
      </c>
      <c r="AM28" s="13">
        <f>SUM(AM26:AM27)</f>
        <v>13</v>
      </c>
      <c r="AN28" s="32">
        <f>AI28/AE28</f>
        <v>0</v>
      </c>
      <c r="AO28" s="32">
        <f>AK28/AE28</f>
        <v>1.4583333333333333</v>
      </c>
      <c r="AP28" s="32">
        <f>AL28/AE28</f>
        <v>1.1875</v>
      </c>
      <c r="AR28" s="20" t="s">
        <v>317</v>
      </c>
      <c r="AS28" s="20">
        <f t="shared" si="10"/>
        <v>2</v>
      </c>
      <c r="AT28" s="5">
        <f t="shared" si="14"/>
        <v>1</v>
      </c>
      <c r="AU28" s="6">
        <f t="shared" si="15"/>
        <v>0</v>
      </c>
      <c r="AV28" s="7">
        <f t="shared" si="16"/>
        <v>1</v>
      </c>
      <c r="AW28" s="26">
        <f t="shared" si="11"/>
        <v>3</v>
      </c>
      <c r="AX28" s="11">
        <f t="shared" si="12"/>
        <v>0.5</v>
      </c>
      <c r="AY28" s="25">
        <f t="shared" si="13"/>
        <v>1.5</v>
      </c>
    </row>
    <row r="29" spans="1:51">
      <c r="A29" s="110" t="s">
        <v>42</v>
      </c>
      <c r="B29" s="105">
        <v>45156</v>
      </c>
      <c r="C29" s="30">
        <v>27</v>
      </c>
      <c r="D29" s="30" t="s">
        <v>48</v>
      </c>
      <c r="E29" s="30" t="s">
        <v>45</v>
      </c>
      <c r="F29" s="30">
        <v>2</v>
      </c>
      <c r="G29" s="30">
        <v>2</v>
      </c>
      <c r="H29" s="30" t="s">
        <v>247</v>
      </c>
      <c r="I29" s="30" t="s">
        <v>255</v>
      </c>
      <c r="J29" s="30" t="s">
        <v>315</v>
      </c>
      <c r="K29" s="30" t="s">
        <v>32</v>
      </c>
      <c r="L29" s="15" t="s">
        <v>70</v>
      </c>
      <c r="M29" s="15" t="s">
        <v>70</v>
      </c>
      <c r="N29" s="15"/>
      <c r="O29" s="15"/>
      <c r="P29" s="15"/>
      <c r="Q29" s="15" t="s">
        <v>108</v>
      </c>
      <c r="R29" s="15"/>
      <c r="S29" s="15"/>
      <c r="T29" s="15"/>
      <c r="U29" s="15"/>
      <c r="V29" s="92">
        <v>5870</v>
      </c>
      <c r="X29" s="84" t="s">
        <v>318</v>
      </c>
      <c r="Y29" s="81">
        <f t="shared" si="0"/>
        <v>0</v>
      </c>
      <c r="Z29" s="81">
        <f t="shared" si="1"/>
        <v>0</v>
      </c>
      <c r="AA29" s="51">
        <f t="shared" si="2"/>
        <v>0</v>
      </c>
      <c r="AD29" s="4" t="s">
        <v>66</v>
      </c>
      <c r="AE29" s="4" t="s">
        <v>30</v>
      </c>
      <c r="AF29" s="4" t="s">
        <v>31</v>
      </c>
      <c r="AG29" s="4" t="s">
        <v>32</v>
      </c>
      <c r="AH29" s="4" t="s">
        <v>33</v>
      </c>
      <c r="AI29" s="4" t="s">
        <v>34</v>
      </c>
      <c r="AJ29" s="4" t="s">
        <v>35</v>
      </c>
      <c r="AK29" s="4" t="s">
        <v>8</v>
      </c>
      <c r="AL29" s="4" t="s">
        <v>9</v>
      </c>
      <c r="AM29" s="4" t="s">
        <v>36</v>
      </c>
      <c r="AR29" s="20" t="s">
        <v>305</v>
      </c>
      <c r="AS29" s="20">
        <f t="shared" si="10"/>
        <v>4</v>
      </c>
      <c r="AT29" s="5">
        <f t="shared" si="14"/>
        <v>2</v>
      </c>
      <c r="AU29" s="6">
        <f t="shared" si="15"/>
        <v>1</v>
      </c>
      <c r="AV29" s="7">
        <f t="shared" si="16"/>
        <v>1</v>
      </c>
      <c r="AW29" s="26">
        <f t="shared" si="11"/>
        <v>7</v>
      </c>
      <c r="AX29" s="11">
        <f t="shared" si="12"/>
        <v>0.5</v>
      </c>
      <c r="AY29" s="25">
        <f t="shared" si="13"/>
        <v>1.75</v>
      </c>
    </row>
    <row r="30" spans="1:51">
      <c r="A30" s="110" t="s">
        <v>42</v>
      </c>
      <c r="B30" s="105">
        <v>45163</v>
      </c>
      <c r="C30" s="30">
        <v>28</v>
      </c>
      <c r="D30" s="30" t="s">
        <v>246</v>
      </c>
      <c r="E30" s="30" t="s">
        <v>49</v>
      </c>
      <c r="F30" s="30">
        <v>2</v>
      </c>
      <c r="G30" s="30">
        <v>1</v>
      </c>
      <c r="H30" s="30" t="s">
        <v>252</v>
      </c>
      <c r="I30" s="30" t="s">
        <v>253</v>
      </c>
      <c r="J30" s="30" t="s">
        <v>270</v>
      </c>
      <c r="K30" s="30" t="s">
        <v>31</v>
      </c>
      <c r="L30" s="15" t="s">
        <v>271</v>
      </c>
      <c r="M30" s="15" t="s">
        <v>278</v>
      </c>
      <c r="N30" s="15"/>
      <c r="O30" s="15"/>
      <c r="P30" s="15"/>
      <c r="Q30" s="15" t="s">
        <v>281</v>
      </c>
      <c r="R30" s="15" t="s">
        <v>171</v>
      </c>
      <c r="S30" s="15"/>
      <c r="T30" s="15"/>
      <c r="U30" s="15"/>
      <c r="V30" s="54"/>
      <c r="X30" s="71" t="s">
        <v>177</v>
      </c>
      <c r="Y30" s="81">
        <f t="shared" si="0"/>
        <v>0</v>
      </c>
      <c r="Z30" s="81">
        <f t="shared" si="1"/>
        <v>0</v>
      </c>
      <c r="AA30" s="51">
        <f t="shared" si="2"/>
        <v>0</v>
      </c>
      <c r="AC30" s="2" t="s">
        <v>42</v>
      </c>
      <c r="AD30" s="2" t="s">
        <v>55</v>
      </c>
      <c r="AE30" s="2">
        <f t="shared" ref="AE30:AE47" si="17">SUM(AF30:AH30)</f>
        <v>4</v>
      </c>
      <c r="AF30" s="5">
        <f t="shared" ref="AF30:AF47" si="18">COUNTIFS(A:A,AC30,D:D,AD30,K:K,"승")</f>
        <v>2</v>
      </c>
      <c r="AG30" s="6">
        <f t="shared" ref="AG30:AG47" si="19">COUNTIFS(A:A,AC30,D:D,AD30,K:K,"무")</f>
        <v>1</v>
      </c>
      <c r="AH30" s="7">
        <f t="shared" ref="AH30:AH47" si="20">COUNTIFS(A:A,AC30,D:D,AD30,K:K,"패")</f>
        <v>1</v>
      </c>
      <c r="AI30" s="26">
        <f t="shared" ref="AI30:AI40" si="21">AF30*3+AG30</f>
        <v>7</v>
      </c>
      <c r="AJ30" s="23">
        <f t="shared" ref="AJ30:AJ47" si="22">AF30/AE30</f>
        <v>0.5</v>
      </c>
      <c r="AK30" s="2">
        <f t="shared" ref="AK30:AK47" si="23">SUMIF(D:D,AD30,F:F)</f>
        <v>5</v>
      </c>
      <c r="AL30" s="2">
        <f t="shared" ref="AL30:AL47" si="24">SUMIF(D:D,AD30,G:G)</f>
        <v>3</v>
      </c>
      <c r="AM30" s="2">
        <f t="shared" ref="AM30:AM47" si="25">AK30-AL30</f>
        <v>2</v>
      </c>
    </row>
    <row r="31" spans="1:51">
      <c r="A31" s="110" t="s">
        <v>42</v>
      </c>
      <c r="B31" s="105">
        <v>45171</v>
      </c>
      <c r="C31" s="30">
        <v>29</v>
      </c>
      <c r="D31" s="30" t="s">
        <v>57</v>
      </c>
      <c r="E31" s="30" t="s">
        <v>45</v>
      </c>
      <c r="F31" s="30">
        <v>0</v>
      </c>
      <c r="G31" s="30">
        <v>2</v>
      </c>
      <c r="H31" s="30" t="s">
        <v>247</v>
      </c>
      <c r="I31" s="30" t="s">
        <v>248</v>
      </c>
      <c r="J31" s="30" t="s">
        <v>249</v>
      </c>
      <c r="K31" s="30" t="s">
        <v>33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92">
        <v>12134</v>
      </c>
      <c r="X31" s="71" t="s">
        <v>278</v>
      </c>
      <c r="Y31" s="81">
        <f t="shared" si="0"/>
        <v>3</v>
      </c>
      <c r="Z31" s="81">
        <f t="shared" si="1"/>
        <v>0</v>
      </c>
      <c r="AA31" s="51">
        <f t="shared" si="2"/>
        <v>3</v>
      </c>
      <c r="AC31" s="2" t="s">
        <v>42</v>
      </c>
      <c r="AD31" s="2" t="s">
        <v>67</v>
      </c>
      <c r="AE31" s="2">
        <f t="shared" si="17"/>
        <v>4</v>
      </c>
      <c r="AF31" s="5">
        <f t="shared" si="18"/>
        <v>0</v>
      </c>
      <c r="AG31" s="6">
        <f t="shared" si="19"/>
        <v>2</v>
      </c>
      <c r="AH31" s="7">
        <f t="shared" si="20"/>
        <v>2</v>
      </c>
      <c r="AI31" s="26">
        <f t="shared" si="21"/>
        <v>2</v>
      </c>
      <c r="AJ31" s="23">
        <f t="shared" si="22"/>
        <v>0</v>
      </c>
      <c r="AK31" s="2">
        <f t="shared" si="23"/>
        <v>2</v>
      </c>
      <c r="AL31" s="2">
        <f t="shared" si="24"/>
        <v>8</v>
      </c>
      <c r="AM31" s="2">
        <f t="shared" si="25"/>
        <v>-6</v>
      </c>
    </row>
    <row r="32" spans="1:51">
      <c r="A32" s="110" t="s">
        <v>42</v>
      </c>
      <c r="B32" s="105">
        <v>45185</v>
      </c>
      <c r="C32" s="30">
        <v>30</v>
      </c>
      <c r="D32" s="30" t="s">
        <v>77</v>
      </c>
      <c r="E32" s="30" t="s">
        <v>45</v>
      </c>
      <c r="F32" s="30">
        <v>2</v>
      </c>
      <c r="G32" s="30">
        <v>1</v>
      </c>
      <c r="H32" s="30" t="s">
        <v>252</v>
      </c>
      <c r="I32" s="30" t="s">
        <v>262</v>
      </c>
      <c r="J32" s="30" t="s">
        <v>263</v>
      </c>
      <c r="K32" s="30" t="s">
        <v>31</v>
      </c>
      <c r="L32" s="15" t="s">
        <v>73</v>
      </c>
      <c r="M32" s="15" t="s">
        <v>300</v>
      </c>
      <c r="N32" s="15"/>
      <c r="O32" s="15"/>
      <c r="P32" s="15"/>
      <c r="Q32" s="15" t="s">
        <v>170</v>
      </c>
      <c r="R32" s="15" t="s">
        <v>171</v>
      </c>
      <c r="S32" s="15"/>
      <c r="T32" s="15"/>
      <c r="U32" s="15"/>
      <c r="V32" s="92">
        <v>8433</v>
      </c>
      <c r="X32" s="71" t="s">
        <v>189</v>
      </c>
      <c r="Y32" s="81">
        <f t="shared" si="0"/>
        <v>0</v>
      </c>
      <c r="Z32" s="81">
        <f t="shared" si="1"/>
        <v>0</v>
      </c>
      <c r="AA32" s="51">
        <f t="shared" si="2"/>
        <v>0</v>
      </c>
      <c r="AC32" s="2" t="s">
        <v>42</v>
      </c>
      <c r="AD32" s="2" t="s">
        <v>57</v>
      </c>
      <c r="AE32" s="2">
        <f t="shared" si="17"/>
        <v>4</v>
      </c>
      <c r="AF32" s="5">
        <f t="shared" si="18"/>
        <v>1</v>
      </c>
      <c r="AG32" s="6">
        <f t="shared" si="19"/>
        <v>1</v>
      </c>
      <c r="AH32" s="7">
        <f t="shared" si="20"/>
        <v>2</v>
      </c>
      <c r="AI32" s="26">
        <f t="shared" si="21"/>
        <v>4</v>
      </c>
      <c r="AJ32" s="23">
        <f t="shared" si="22"/>
        <v>0.25</v>
      </c>
      <c r="AK32" s="2">
        <f t="shared" si="23"/>
        <v>3</v>
      </c>
      <c r="AL32" s="2">
        <f t="shared" si="24"/>
        <v>4</v>
      </c>
      <c r="AM32" s="2">
        <f t="shared" si="25"/>
        <v>-1</v>
      </c>
    </row>
    <row r="33" spans="1:39">
      <c r="A33" s="110" t="s">
        <v>42</v>
      </c>
      <c r="B33" s="105">
        <v>45193</v>
      </c>
      <c r="C33" s="30">
        <v>31</v>
      </c>
      <c r="D33" s="30" t="s">
        <v>71</v>
      </c>
      <c r="E33" s="30" t="s">
        <v>49</v>
      </c>
      <c r="F33" s="30">
        <v>1</v>
      </c>
      <c r="G33" s="30">
        <v>1</v>
      </c>
      <c r="H33" s="30" t="s">
        <v>259</v>
      </c>
      <c r="I33" s="30" t="s">
        <v>309</v>
      </c>
      <c r="J33" s="30" t="s">
        <v>273</v>
      </c>
      <c r="K33" s="30" t="s">
        <v>32</v>
      </c>
      <c r="L33" s="15" t="s">
        <v>46</v>
      </c>
      <c r="M33" s="15"/>
      <c r="N33" s="15"/>
      <c r="O33" s="15"/>
      <c r="P33" s="15"/>
      <c r="Q33" s="15" t="s">
        <v>171</v>
      </c>
      <c r="R33" s="15"/>
      <c r="S33" s="15"/>
      <c r="T33" s="15"/>
      <c r="U33" s="15"/>
      <c r="V33" s="54"/>
      <c r="X33" s="71" t="s">
        <v>97</v>
      </c>
      <c r="Y33" s="81">
        <f t="shared" si="0"/>
        <v>0</v>
      </c>
      <c r="Z33" s="81">
        <f t="shared" si="1"/>
        <v>0</v>
      </c>
      <c r="AA33" s="51">
        <f t="shared" si="2"/>
        <v>0</v>
      </c>
      <c r="AC33" s="2" t="s">
        <v>42</v>
      </c>
      <c r="AD33" s="2" t="s">
        <v>77</v>
      </c>
      <c r="AE33" s="2">
        <f t="shared" si="17"/>
        <v>3</v>
      </c>
      <c r="AF33" s="5">
        <f t="shared" si="18"/>
        <v>2</v>
      </c>
      <c r="AG33" s="6">
        <f t="shared" si="19"/>
        <v>0</v>
      </c>
      <c r="AH33" s="7">
        <f t="shared" si="20"/>
        <v>1</v>
      </c>
      <c r="AI33" s="26">
        <f t="shared" si="21"/>
        <v>6</v>
      </c>
      <c r="AJ33" s="23">
        <f t="shared" si="22"/>
        <v>0.66666666666666663</v>
      </c>
      <c r="AK33" s="2">
        <f t="shared" si="23"/>
        <v>3</v>
      </c>
      <c r="AL33" s="2">
        <f t="shared" si="24"/>
        <v>3</v>
      </c>
      <c r="AM33" s="2">
        <f t="shared" si="25"/>
        <v>0</v>
      </c>
    </row>
    <row r="34" spans="1:39">
      <c r="A34" s="110" t="s">
        <v>42</v>
      </c>
      <c r="B34" s="105">
        <v>45199</v>
      </c>
      <c r="C34" s="30">
        <v>32</v>
      </c>
      <c r="D34" s="30" t="s">
        <v>142</v>
      </c>
      <c r="E34" s="30" t="s">
        <v>45</v>
      </c>
      <c r="F34" s="30">
        <v>2</v>
      </c>
      <c r="G34" s="30">
        <v>0</v>
      </c>
      <c r="H34" s="30" t="s">
        <v>252</v>
      </c>
      <c r="I34" s="30" t="s">
        <v>262</v>
      </c>
      <c r="J34" s="30" t="s">
        <v>316</v>
      </c>
      <c r="K34" s="30" t="s">
        <v>31</v>
      </c>
      <c r="L34" s="15" t="s">
        <v>46</v>
      </c>
      <c r="M34" s="15" t="s">
        <v>271</v>
      </c>
      <c r="N34" s="15"/>
      <c r="O34" s="15"/>
      <c r="P34" s="15"/>
      <c r="Q34" s="15"/>
      <c r="R34" s="15" t="s">
        <v>279</v>
      </c>
      <c r="S34" s="15"/>
      <c r="T34" s="15"/>
      <c r="U34" s="15"/>
      <c r="V34" s="92">
        <v>15040</v>
      </c>
      <c r="X34" s="71" t="s">
        <v>280</v>
      </c>
      <c r="Y34" s="81">
        <f t="shared" si="0"/>
        <v>1</v>
      </c>
      <c r="Z34" s="81">
        <f t="shared" si="1"/>
        <v>0</v>
      </c>
      <c r="AA34" s="51">
        <f t="shared" si="2"/>
        <v>1</v>
      </c>
      <c r="AC34" s="2" t="s">
        <v>42</v>
      </c>
      <c r="AD34" s="2" t="s">
        <v>71</v>
      </c>
      <c r="AE34" s="2">
        <f t="shared" si="17"/>
        <v>3</v>
      </c>
      <c r="AF34" s="5">
        <f t="shared" si="18"/>
        <v>2</v>
      </c>
      <c r="AG34" s="6">
        <f t="shared" si="19"/>
        <v>1</v>
      </c>
      <c r="AH34" s="7">
        <f t="shared" si="20"/>
        <v>0</v>
      </c>
      <c r="AI34" s="26">
        <f t="shared" si="21"/>
        <v>7</v>
      </c>
      <c r="AJ34" s="23">
        <f t="shared" si="22"/>
        <v>0.66666666666666663</v>
      </c>
      <c r="AK34" s="2">
        <f t="shared" si="23"/>
        <v>4</v>
      </c>
      <c r="AL34" s="2">
        <f t="shared" si="24"/>
        <v>1</v>
      </c>
      <c r="AM34" s="2">
        <f t="shared" si="25"/>
        <v>3</v>
      </c>
    </row>
    <row r="35" spans="1:39">
      <c r="A35" s="110" t="s">
        <v>42</v>
      </c>
      <c r="B35" s="105">
        <v>45207</v>
      </c>
      <c r="C35" s="30">
        <v>33</v>
      </c>
      <c r="D35" s="30" t="s">
        <v>55</v>
      </c>
      <c r="E35" s="30" t="s">
        <v>49</v>
      </c>
      <c r="F35" s="30">
        <v>0</v>
      </c>
      <c r="G35" s="30">
        <v>0</v>
      </c>
      <c r="H35" s="30" t="s">
        <v>247</v>
      </c>
      <c r="I35" s="30" t="s">
        <v>301</v>
      </c>
      <c r="J35" s="30" t="s">
        <v>249</v>
      </c>
      <c r="K35" s="30" t="s">
        <v>32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4"/>
      <c r="X35" s="71" t="s">
        <v>105</v>
      </c>
      <c r="Y35" s="81">
        <f t="shared" si="0"/>
        <v>0</v>
      </c>
      <c r="Z35" s="81">
        <f t="shared" si="1"/>
        <v>0</v>
      </c>
      <c r="AA35" s="51">
        <f t="shared" si="2"/>
        <v>0</v>
      </c>
      <c r="AC35" s="2" t="s">
        <v>42</v>
      </c>
      <c r="AD35" s="2" t="s">
        <v>246</v>
      </c>
      <c r="AE35" s="2">
        <f t="shared" si="17"/>
        <v>3</v>
      </c>
      <c r="AF35" s="5">
        <f t="shared" si="18"/>
        <v>1</v>
      </c>
      <c r="AG35" s="6">
        <f t="shared" si="19"/>
        <v>2</v>
      </c>
      <c r="AH35" s="7">
        <f t="shared" si="20"/>
        <v>0</v>
      </c>
      <c r="AI35" s="26">
        <f t="shared" si="21"/>
        <v>5</v>
      </c>
      <c r="AJ35" s="23">
        <f t="shared" si="22"/>
        <v>0.33333333333333331</v>
      </c>
      <c r="AK35" s="2">
        <f t="shared" si="23"/>
        <v>6</v>
      </c>
      <c r="AL35" s="2">
        <f t="shared" si="24"/>
        <v>5</v>
      </c>
      <c r="AM35" s="2">
        <f t="shared" si="25"/>
        <v>1</v>
      </c>
    </row>
    <row r="36" spans="1:39">
      <c r="A36" s="110" t="s">
        <v>42</v>
      </c>
      <c r="B36" s="106">
        <v>45219</v>
      </c>
      <c r="C36" s="24">
        <v>34</v>
      </c>
      <c r="D36" s="24" t="s">
        <v>57</v>
      </c>
      <c r="E36" s="24" t="s">
        <v>49</v>
      </c>
      <c r="F36" s="24">
        <v>1</v>
      </c>
      <c r="G36" s="24">
        <v>1</v>
      </c>
      <c r="H36" s="24" t="s">
        <v>252</v>
      </c>
      <c r="I36" s="24" t="s">
        <v>262</v>
      </c>
      <c r="J36" s="24" t="s">
        <v>254</v>
      </c>
      <c r="K36" s="24" t="s">
        <v>32</v>
      </c>
      <c r="L36" s="58" t="s">
        <v>70</v>
      </c>
      <c r="M36" s="58"/>
      <c r="N36" s="58"/>
      <c r="O36" s="58"/>
      <c r="P36" s="58"/>
      <c r="Q36" s="58" t="s">
        <v>107</v>
      </c>
      <c r="R36" s="58"/>
      <c r="S36" s="58"/>
      <c r="T36" s="58"/>
      <c r="U36" s="58"/>
      <c r="V36" s="59"/>
      <c r="X36" s="71" t="s">
        <v>178</v>
      </c>
      <c r="Y36" s="81">
        <f t="shared" si="0"/>
        <v>0</v>
      </c>
      <c r="Z36" s="81">
        <f t="shared" si="1"/>
        <v>0</v>
      </c>
      <c r="AA36" s="51">
        <f t="shared" si="2"/>
        <v>0</v>
      </c>
      <c r="AC36" s="2" t="s">
        <v>42</v>
      </c>
      <c r="AD36" s="2" t="s">
        <v>44</v>
      </c>
      <c r="AE36" s="2">
        <f t="shared" si="17"/>
        <v>3</v>
      </c>
      <c r="AF36" s="5">
        <f t="shared" si="18"/>
        <v>1</v>
      </c>
      <c r="AG36" s="6">
        <f t="shared" si="19"/>
        <v>1</v>
      </c>
      <c r="AH36" s="7">
        <f t="shared" si="20"/>
        <v>1</v>
      </c>
      <c r="AI36" s="26">
        <f t="shared" si="21"/>
        <v>4</v>
      </c>
      <c r="AJ36" s="23">
        <f t="shared" si="22"/>
        <v>0.33333333333333331</v>
      </c>
      <c r="AK36" s="2">
        <f t="shared" si="23"/>
        <v>3</v>
      </c>
      <c r="AL36" s="2">
        <f t="shared" si="24"/>
        <v>3</v>
      </c>
      <c r="AM36" s="2">
        <f t="shared" si="25"/>
        <v>0</v>
      </c>
    </row>
    <row r="37" spans="1:39">
      <c r="A37" s="110" t="s">
        <v>42</v>
      </c>
      <c r="B37" s="106">
        <v>45227</v>
      </c>
      <c r="C37" s="24">
        <v>35</v>
      </c>
      <c r="D37" s="24" t="s">
        <v>48</v>
      </c>
      <c r="E37" s="24" t="s">
        <v>49</v>
      </c>
      <c r="F37" s="24">
        <v>2</v>
      </c>
      <c r="G37" s="24">
        <v>0</v>
      </c>
      <c r="H37" s="24" t="s">
        <v>247</v>
      </c>
      <c r="I37" s="24" t="s">
        <v>301</v>
      </c>
      <c r="J37" s="24" t="s">
        <v>249</v>
      </c>
      <c r="K37" s="24" t="s">
        <v>31</v>
      </c>
      <c r="L37" s="58" t="s">
        <v>268</v>
      </c>
      <c r="M37" s="58" t="s">
        <v>156</v>
      </c>
      <c r="N37" s="58"/>
      <c r="O37" s="58"/>
      <c r="P37" s="58"/>
      <c r="Q37" s="58"/>
      <c r="R37" s="58"/>
      <c r="S37" s="58"/>
      <c r="T37" s="58"/>
      <c r="U37" s="58"/>
      <c r="V37" s="59"/>
      <c r="X37" s="68" t="s">
        <v>107</v>
      </c>
      <c r="Y37" s="81">
        <f t="shared" si="0"/>
        <v>0</v>
      </c>
      <c r="Z37" s="81">
        <f t="shared" si="1"/>
        <v>1</v>
      </c>
      <c r="AA37" s="51">
        <f t="shared" si="2"/>
        <v>1</v>
      </c>
      <c r="AC37" s="2" t="s">
        <v>42</v>
      </c>
      <c r="AD37" s="2" t="s">
        <v>265</v>
      </c>
      <c r="AE37" s="2">
        <f t="shared" si="17"/>
        <v>4</v>
      </c>
      <c r="AF37" s="5">
        <f t="shared" si="18"/>
        <v>1</v>
      </c>
      <c r="AG37" s="6">
        <f t="shared" si="19"/>
        <v>2</v>
      </c>
      <c r="AH37" s="7">
        <f t="shared" si="20"/>
        <v>1</v>
      </c>
      <c r="AI37" s="26">
        <f t="shared" si="21"/>
        <v>5</v>
      </c>
      <c r="AJ37" s="23">
        <f t="shared" si="22"/>
        <v>0.25</v>
      </c>
      <c r="AK37" s="2">
        <f t="shared" si="23"/>
        <v>6</v>
      </c>
      <c r="AL37" s="2">
        <f t="shared" si="24"/>
        <v>5</v>
      </c>
      <c r="AM37" s="2">
        <f t="shared" si="25"/>
        <v>1</v>
      </c>
    </row>
    <row r="38" spans="1:39">
      <c r="A38" s="110" t="s">
        <v>42</v>
      </c>
      <c r="B38" s="106">
        <v>45242</v>
      </c>
      <c r="C38" s="24">
        <v>36</v>
      </c>
      <c r="D38" s="24" t="s">
        <v>67</v>
      </c>
      <c r="E38" s="24" t="s">
        <v>45</v>
      </c>
      <c r="F38" s="24">
        <v>1</v>
      </c>
      <c r="G38" s="24">
        <v>1</v>
      </c>
      <c r="H38" s="24" t="s">
        <v>252</v>
      </c>
      <c r="I38" s="24" t="s">
        <v>262</v>
      </c>
      <c r="J38" s="24" t="s">
        <v>263</v>
      </c>
      <c r="K38" s="24" t="s">
        <v>32</v>
      </c>
      <c r="L38" s="107" t="s">
        <v>170</v>
      </c>
      <c r="M38" s="58"/>
      <c r="N38" s="58"/>
      <c r="O38" s="58"/>
      <c r="P38" s="58"/>
      <c r="Q38" s="58"/>
      <c r="R38" s="58"/>
      <c r="S38" s="58"/>
      <c r="T38" s="58"/>
      <c r="U38" s="58"/>
      <c r="V38" s="93">
        <v>11912</v>
      </c>
      <c r="X38" s="68" t="s">
        <v>108</v>
      </c>
      <c r="Y38" s="81">
        <f t="shared" si="0"/>
        <v>0</v>
      </c>
      <c r="Z38" s="81">
        <f t="shared" si="1"/>
        <v>1</v>
      </c>
      <c r="AA38" s="51">
        <f t="shared" si="2"/>
        <v>1</v>
      </c>
      <c r="AC38" s="2" t="s">
        <v>42</v>
      </c>
      <c r="AD38" s="2" t="s">
        <v>142</v>
      </c>
      <c r="AE38" s="2">
        <f t="shared" si="17"/>
        <v>3</v>
      </c>
      <c r="AF38" s="5">
        <f t="shared" si="18"/>
        <v>1</v>
      </c>
      <c r="AG38" s="6">
        <f t="shared" si="19"/>
        <v>1</v>
      </c>
      <c r="AH38" s="7">
        <f t="shared" si="20"/>
        <v>1</v>
      </c>
      <c r="AI38" s="26">
        <f t="shared" si="21"/>
        <v>4</v>
      </c>
      <c r="AJ38" s="23">
        <f t="shared" si="22"/>
        <v>0.33333333333333331</v>
      </c>
      <c r="AK38" s="2">
        <f t="shared" si="23"/>
        <v>5</v>
      </c>
      <c r="AL38" s="2">
        <f t="shared" si="24"/>
        <v>3</v>
      </c>
      <c r="AM38" s="2">
        <f t="shared" si="25"/>
        <v>2</v>
      </c>
    </row>
    <row r="39" spans="1:39">
      <c r="A39" s="110" t="s">
        <v>42</v>
      </c>
      <c r="B39" s="106">
        <v>45254</v>
      </c>
      <c r="C39" s="24">
        <v>37</v>
      </c>
      <c r="D39" s="24" t="s">
        <v>55</v>
      </c>
      <c r="E39" s="24" t="s">
        <v>45</v>
      </c>
      <c r="F39" s="24">
        <v>3</v>
      </c>
      <c r="G39" s="24">
        <v>1</v>
      </c>
      <c r="H39" s="24" t="s">
        <v>247</v>
      </c>
      <c r="I39" s="24" t="s">
        <v>301</v>
      </c>
      <c r="J39" s="24" t="s">
        <v>249</v>
      </c>
      <c r="K39" s="24" t="s">
        <v>31</v>
      </c>
      <c r="L39" s="58" t="s">
        <v>54</v>
      </c>
      <c r="M39" s="58" t="s">
        <v>111</v>
      </c>
      <c r="N39" s="58" t="s">
        <v>278</v>
      </c>
      <c r="O39" s="58"/>
      <c r="P39" s="58"/>
      <c r="Q39" s="58" t="s">
        <v>268</v>
      </c>
      <c r="R39" s="58" t="s">
        <v>300</v>
      </c>
      <c r="S39" s="58" t="s">
        <v>143</v>
      </c>
      <c r="T39" s="58"/>
      <c r="U39" s="58"/>
      <c r="V39" s="93">
        <v>7601</v>
      </c>
      <c r="X39" s="68" t="s">
        <v>179</v>
      </c>
      <c r="Y39" s="81">
        <f t="shared" si="0"/>
        <v>0</v>
      </c>
      <c r="Z39" s="81">
        <f t="shared" si="1"/>
        <v>0</v>
      </c>
      <c r="AA39" s="51">
        <f t="shared" si="2"/>
        <v>0</v>
      </c>
      <c r="AC39" s="2" t="s">
        <v>42</v>
      </c>
      <c r="AD39" s="2" t="s">
        <v>48</v>
      </c>
      <c r="AE39" s="2">
        <f t="shared" si="17"/>
        <v>4</v>
      </c>
      <c r="AF39" s="5">
        <f t="shared" si="18"/>
        <v>1</v>
      </c>
      <c r="AG39" s="6">
        <f t="shared" si="19"/>
        <v>2</v>
      </c>
      <c r="AH39" s="7">
        <f t="shared" si="20"/>
        <v>1</v>
      </c>
      <c r="AI39" s="26">
        <f t="shared" si="21"/>
        <v>5</v>
      </c>
      <c r="AJ39" s="23">
        <f t="shared" si="22"/>
        <v>0.25</v>
      </c>
      <c r="AK39" s="2">
        <f t="shared" si="23"/>
        <v>5</v>
      </c>
      <c r="AL39" s="2">
        <f t="shared" si="24"/>
        <v>8</v>
      </c>
      <c r="AM39" s="2">
        <f t="shared" si="25"/>
        <v>-3</v>
      </c>
    </row>
    <row r="40" spans="1:39" ht="17.5" customHeight="1" thickBot="1">
      <c r="A40" s="100" t="s">
        <v>42</v>
      </c>
      <c r="B40" s="121">
        <v>45263</v>
      </c>
      <c r="C40" s="37">
        <v>38</v>
      </c>
      <c r="D40" s="37" t="s">
        <v>265</v>
      </c>
      <c r="E40" s="37" t="s">
        <v>49</v>
      </c>
      <c r="F40" s="37">
        <v>1</v>
      </c>
      <c r="G40" s="37">
        <v>2</v>
      </c>
      <c r="H40" s="37" t="s">
        <v>259</v>
      </c>
      <c r="I40" s="37" t="s">
        <v>251</v>
      </c>
      <c r="J40" s="37" t="s">
        <v>260</v>
      </c>
      <c r="K40" s="37" t="s">
        <v>33</v>
      </c>
      <c r="L40" s="64" t="s">
        <v>300</v>
      </c>
      <c r="M40" s="64"/>
      <c r="N40" s="64"/>
      <c r="O40" s="64"/>
      <c r="P40" s="64"/>
      <c r="Q40" s="64" t="s">
        <v>111</v>
      </c>
      <c r="R40" s="64"/>
      <c r="S40" s="64"/>
      <c r="T40" s="64"/>
      <c r="U40" s="64"/>
      <c r="V40" s="65"/>
      <c r="X40" s="69" t="s">
        <v>284</v>
      </c>
      <c r="Y40" s="81">
        <f t="shared" si="0"/>
        <v>0</v>
      </c>
      <c r="Z40" s="81">
        <f t="shared" si="1"/>
        <v>0</v>
      </c>
      <c r="AA40" s="51">
        <f t="shared" si="2"/>
        <v>0</v>
      </c>
      <c r="AC40" s="2" t="s">
        <v>42</v>
      </c>
      <c r="AD40" s="2" t="s">
        <v>61</v>
      </c>
      <c r="AE40" s="2">
        <f t="shared" si="17"/>
        <v>3</v>
      </c>
      <c r="AF40" s="5">
        <f t="shared" si="18"/>
        <v>2</v>
      </c>
      <c r="AG40" s="6">
        <f t="shared" si="19"/>
        <v>1</v>
      </c>
      <c r="AH40" s="7">
        <f t="shared" si="20"/>
        <v>0</v>
      </c>
      <c r="AI40" s="26">
        <f t="shared" si="21"/>
        <v>7</v>
      </c>
      <c r="AJ40" s="23">
        <f t="shared" si="22"/>
        <v>0.66666666666666663</v>
      </c>
      <c r="AK40" s="2">
        <f t="shared" si="23"/>
        <v>8</v>
      </c>
      <c r="AL40" s="2">
        <f t="shared" si="24"/>
        <v>4</v>
      </c>
      <c r="AM40" s="2">
        <f t="shared" si="25"/>
        <v>4</v>
      </c>
    </row>
    <row r="41" spans="1:39">
      <c r="A41" s="98" t="s">
        <v>319</v>
      </c>
      <c r="B41" s="122">
        <v>45160</v>
      </c>
      <c r="C41" s="101" t="s">
        <v>320</v>
      </c>
      <c r="D41" s="101" t="s">
        <v>321</v>
      </c>
      <c r="E41" s="101" t="s">
        <v>45</v>
      </c>
      <c r="F41" s="101">
        <v>3</v>
      </c>
      <c r="G41" s="101">
        <v>1</v>
      </c>
      <c r="H41" s="101" t="s">
        <v>252</v>
      </c>
      <c r="I41" s="101" t="s">
        <v>257</v>
      </c>
      <c r="J41" s="101" t="s">
        <v>254</v>
      </c>
      <c r="K41" s="101" t="s">
        <v>31</v>
      </c>
      <c r="L41" s="123" t="s">
        <v>271</v>
      </c>
      <c r="M41" s="123" t="s">
        <v>300</v>
      </c>
      <c r="N41" s="123" t="s">
        <v>70</v>
      </c>
      <c r="O41" s="123"/>
      <c r="P41" s="123"/>
      <c r="Q41" s="123" t="s">
        <v>46</v>
      </c>
      <c r="R41" s="123" t="s">
        <v>70</v>
      </c>
      <c r="S41" s="123"/>
      <c r="T41" s="123"/>
      <c r="U41" s="123"/>
      <c r="V41" s="124">
        <v>5206</v>
      </c>
      <c r="AC41" s="2" t="s">
        <v>319</v>
      </c>
      <c r="AD41" s="2" t="s">
        <v>321</v>
      </c>
      <c r="AE41" s="2">
        <f t="shared" si="17"/>
        <v>1</v>
      </c>
      <c r="AF41" s="5">
        <f t="shared" si="18"/>
        <v>1</v>
      </c>
      <c r="AG41" s="6">
        <f t="shared" si="19"/>
        <v>0</v>
      </c>
      <c r="AH41" s="7">
        <f t="shared" si="20"/>
        <v>0</v>
      </c>
      <c r="AI41" s="26">
        <v>0</v>
      </c>
      <c r="AJ41" s="23">
        <f t="shared" si="22"/>
        <v>1</v>
      </c>
      <c r="AK41" s="2">
        <f t="shared" si="23"/>
        <v>3</v>
      </c>
      <c r="AL41" s="2">
        <f t="shared" si="24"/>
        <v>1</v>
      </c>
      <c r="AM41" s="2">
        <f t="shared" si="25"/>
        <v>2</v>
      </c>
    </row>
    <row r="42" spans="1:39">
      <c r="A42" s="110" t="s">
        <v>322</v>
      </c>
      <c r="B42" s="108">
        <v>45188</v>
      </c>
      <c r="C42" s="73">
        <v>1</v>
      </c>
      <c r="D42" s="73" t="s">
        <v>323</v>
      </c>
      <c r="E42" s="73" t="s">
        <v>49</v>
      </c>
      <c r="F42" s="73">
        <v>4</v>
      </c>
      <c r="G42" s="73">
        <v>2</v>
      </c>
      <c r="H42" s="73" t="s">
        <v>303</v>
      </c>
      <c r="I42" s="73" t="s">
        <v>310</v>
      </c>
      <c r="J42" s="73" t="s">
        <v>305</v>
      </c>
      <c r="K42" s="73" t="s">
        <v>31</v>
      </c>
      <c r="L42" s="76" t="s">
        <v>314</v>
      </c>
      <c r="M42" s="76" t="s">
        <v>70</v>
      </c>
      <c r="N42" s="76" t="s">
        <v>300</v>
      </c>
      <c r="O42" s="76" t="s">
        <v>300</v>
      </c>
      <c r="P42" s="76"/>
      <c r="Q42" s="76"/>
      <c r="R42" s="76" t="s">
        <v>170</v>
      </c>
      <c r="S42" s="76" t="s">
        <v>272</v>
      </c>
      <c r="T42" s="76" t="s">
        <v>272</v>
      </c>
      <c r="U42" s="76"/>
      <c r="V42" s="77"/>
      <c r="AC42" s="2" t="s">
        <v>322</v>
      </c>
      <c r="AD42" s="2" t="s">
        <v>323</v>
      </c>
      <c r="AE42" s="2">
        <f t="shared" si="17"/>
        <v>2</v>
      </c>
      <c r="AF42" s="5">
        <f t="shared" si="18"/>
        <v>2</v>
      </c>
      <c r="AG42" s="6">
        <f t="shared" si="19"/>
        <v>0</v>
      </c>
      <c r="AH42" s="7">
        <f t="shared" si="20"/>
        <v>0</v>
      </c>
      <c r="AI42" s="26">
        <f>AF42*3+AG42</f>
        <v>6</v>
      </c>
      <c r="AJ42" s="23">
        <f t="shared" si="22"/>
        <v>1</v>
      </c>
      <c r="AK42" s="2">
        <f t="shared" si="23"/>
        <v>6</v>
      </c>
      <c r="AL42" s="2">
        <f t="shared" si="24"/>
        <v>3</v>
      </c>
      <c r="AM42" s="2">
        <f t="shared" si="25"/>
        <v>3</v>
      </c>
    </row>
    <row r="43" spans="1:39">
      <c r="A43" s="110" t="s">
        <v>322</v>
      </c>
      <c r="B43" s="108">
        <v>45202</v>
      </c>
      <c r="C43" s="73">
        <v>2</v>
      </c>
      <c r="D43" s="73" t="s">
        <v>324</v>
      </c>
      <c r="E43" s="73" t="s">
        <v>45</v>
      </c>
      <c r="F43" s="73">
        <v>4</v>
      </c>
      <c r="G43" s="73">
        <v>0</v>
      </c>
      <c r="H43" s="73" t="s">
        <v>303</v>
      </c>
      <c r="I43" s="73" t="s">
        <v>310</v>
      </c>
      <c r="J43" s="73" t="s">
        <v>305</v>
      </c>
      <c r="K43" s="73" t="s">
        <v>31</v>
      </c>
      <c r="L43" s="76" t="s">
        <v>46</v>
      </c>
      <c r="M43" s="76" t="s">
        <v>46</v>
      </c>
      <c r="N43" s="76" t="s">
        <v>300</v>
      </c>
      <c r="O43" s="76" t="s">
        <v>272</v>
      </c>
      <c r="P43" s="76"/>
      <c r="Q43" s="76" t="s">
        <v>112</v>
      </c>
      <c r="R43" s="76"/>
      <c r="S43" s="76" t="s">
        <v>70</v>
      </c>
      <c r="T43" s="76"/>
      <c r="U43" s="76"/>
      <c r="V43" s="94">
        <v>8582</v>
      </c>
      <c r="AC43" s="2" t="s">
        <v>322</v>
      </c>
      <c r="AD43" s="2" t="s">
        <v>325</v>
      </c>
      <c r="AE43" s="2">
        <f t="shared" si="17"/>
        <v>2</v>
      </c>
      <c r="AF43" s="5">
        <f t="shared" si="18"/>
        <v>0</v>
      </c>
      <c r="AG43" s="6">
        <f t="shared" si="19"/>
        <v>0</v>
      </c>
      <c r="AH43" s="7">
        <f t="shared" si="20"/>
        <v>2</v>
      </c>
      <c r="AI43" s="26">
        <f>AF43*3+AG43</f>
        <v>0</v>
      </c>
      <c r="AJ43" s="23">
        <f t="shared" si="22"/>
        <v>0</v>
      </c>
      <c r="AK43" s="2">
        <f t="shared" si="23"/>
        <v>1</v>
      </c>
      <c r="AL43" s="2">
        <f t="shared" si="24"/>
        <v>5</v>
      </c>
      <c r="AM43" s="2">
        <f t="shared" si="25"/>
        <v>-4</v>
      </c>
    </row>
    <row r="44" spans="1:39">
      <c r="A44" s="110" t="s">
        <v>322</v>
      </c>
      <c r="B44" s="108">
        <v>45224</v>
      </c>
      <c r="C44" s="73">
        <v>3</v>
      </c>
      <c r="D44" s="73" t="s">
        <v>325</v>
      </c>
      <c r="E44" s="73" t="s">
        <v>45</v>
      </c>
      <c r="F44" s="73">
        <v>0</v>
      </c>
      <c r="G44" s="73">
        <v>2</v>
      </c>
      <c r="H44" s="73" t="s">
        <v>303</v>
      </c>
      <c r="I44" s="73" t="s">
        <v>311</v>
      </c>
      <c r="J44" s="73" t="s">
        <v>317</v>
      </c>
      <c r="K44" s="73" t="s">
        <v>33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94">
        <v>7277</v>
      </c>
      <c r="AC44" s="2" t="s">
        <v>322</v>
      </c>
      <c r="AD44" s="2" t="s">
        <v>324</v>
      </c>
      <c r="AE44" s="2">
        <f t="shared" si="17"/>
        <v>2</v>
      </c>
      <c r="AF44" s="5">
        <f t="shared" si="18"/>
        <v>2</v>
      </c>
      <c r="AG44" s="6">
        <f t="shared" si="19"/>
        <v>0</v>
      </c>
      <c r="AH44" s="7">
        <f t="shared" si="20"/>
        <v>0</v>
      </c>
      <c r="AI44" s="26">
        <f>AF44*3+AG44</f>
        <v>6</v>
      </c>
      <c r="AJ44" s="23">
        <f t="shared" si="22"/>
        <v>1</v>
      </c>
      <c r="AK44" s="2">
        <f t="shared" si="23"/>
        <v>7</v>
      </c>
      <c r="AL44" s="2">
        <f t="shared" si="24"/>
        <v>1</v>
      </c>
      <c r="AM44" s="2">
        <f t="shared" si="25"/>
        <v>6</v>
      </c>
    </row>
    <row r="45" spans="1:39">
      <c r="A45" s="110" t="s">
        <v>322</v>
      </c>
      <c r="B45" s="108">
        <v>45237</v>
      </c>
      <c r="C45" s="73">
        <v>4</v>
      </c>
      <c r="D45" s="73" t="s">
        <v>325</v>
      </c>
      <c r="E45" s="73" t="s">
        <v>49</v>
      </c>
      <c r="F45" s="73">
        <v>1</v>
      </c>
      <c r="G45" s="73">
        <v>3</v>
      </c>
      <c r="H45" s="73" t="s">
        <v>303</v>
      </c>
      <c r="I45" s="73" t="s">
        <v>306</v>
      </c>
      <c r="J45" s="73" t="s">
        <v>305</v>
      </c>
      <c r="K45" s="73" t="s">
        <v>33</v>
      </c>
      <c r="L45" s="76" t="s">
        <v>170</v>
      </c>
      <c r="M45" s="76"/>
      <c r="N45" s="76"/>
      <c r="O45" s="76"/>
      <c r="P45" s="76"/>
      <c r="Q45" s="76" t="s">
        <v>156</v>
      </c>
      <c r="R45" s="76"/>
      <c r="S45" s="76"/>
      <c r="T45" s="76"/>
      <c r="U45" s="76"/>
      <c r="V45" s="77"/>
      <c r="AC45" s="2" t="s">
        <v>115</v>
      </c>
      <c r="AD45" s="2" t="s">
        <v>139</v>
      </c>
      <c r="AE45" s="2">
        <f t="shared" si="17"/>
        <v>1</v>
      </c>
      <c r="AF45" s="5">
        <f t="shared" si="18"/>
        <v>1</v>
      </c>
      <c r="AG45" s="6">
        <f t="shared" si="19"/>
        <v>0</v>
      </c>
      <c r="AH45" s="7">
        <f t="shared" si="20"/>
        <v>0</v>
      </c>
      <c r="AI45" s="26">
        <v>0</v>
      </c>
      <c r="AJ45" s="23">
        <f t="shared" si="22"/>
        <v>1</v>
      </c>
      <c r="AK45" s="2">
        <f t="shared" si="23"/>
        <v>3</v>
      </c>
      <c r="AL45" s="2">
        <f t="shared" si="24"/>
        <v>0</v>
      </c>
      <c r="AM45" s="2">
        <f t="shared" si="25"/>
        <v>3</v>
      </c>
    </row>
    <row r="46" spans="1:39">
      <c r="A46" s="110" t="s">
        <v>322</v>
      </c>
      <c r="B46" s="108">
        <v>45258</v>
      </c>
      <c r="C46" s="73">
        <v>5</v>
      </c>
      <c r="D46" s="73" t="s">
        <v>323</v>
      </c>
      <c r="E46" s="73" t="s">
        <v>45</v>
      </c>
      <c r="F46" s="73">
        <v>2</v>
      </c>
      <c r="G46" s="73">
        <v>1</v>
      </c>
      <c r="H46" s="73" t="s">
        <v>303</v>
      </c>
      <c r="I46" s="73" t="s">
        <v>312</v>
      </c>
      <c r="J46" s="73" t="s">
        <v>317</v>
      </c>
      <c r="K46" s="73" t="s">
        <v>31</v>
      </c>
      <c r="L46" s="76" t="s">
        <v>111</v>
      </c>
      <c r="M46" s="76" t="s">
        <v>300</v>
      </c>
      <c r="N46" s="76"/>
      <c r="O46" s="76"/>
      <c r="P46" s="76"/>
      <c r="Q46" s="76"/>
      <c r="R46" s="76" t="s">
        <v>143</v>
      </c>
      <c r="S46" s="76"/>
      <c r="T46" s="76"/>
      <c r="U46" s="76"/>
      <c r="V46" s="94">
        <v>5712</v>
      </c>
      <c r="AC46" s="2" t="s">
        <v>115</v>
      </c>
      <c r="AD46" s="2" t="s">
        <v>142</v>
      </c>
      <c r="AE46" s="2">
        <f t="shared" si="17"/>
        <v>1</v>
      </c>
      <c r="AF46" s="5">
        <f t="shared" si="18"/>
        <v>1</v>
      </c>
      <c r="AG46" s="6">
        <f t="shared" si="19"/>
        <v>0</v>
      </c>
      <c r="AH46" s="7">
        <f t="shared" si="20"/>
        <v>0</v>
      </c>
      <c r="AI46" s="26">
        <v>0</v>
      </c>
      <c r="AJ46" s="23">
        <f t="shared" si="22"/>
        <v>1</v>
      </c>
      <c r="AK46" s="2">
        <f t="shared" si="23"/>
        <v>5</v>
      </c>
      <c r="AL46" s="2">
        <f t="shared" si="24"/>
        <v>3</v>
      </c>
      <c r="AM46" s="2">
        <f t="shared" si="25"/>
        <v>2</v>
      </c>
    </row>
    <row r="47" spans="1:39" ht="17.5" customHeight="1" thickBot="1">
      <c r="A47" s="100" t="s">
        <v>322</v>
      </c>
      <c r="B47" s="125">
        <v>45273</v>
      </c>
      <c r="C47" s="102">
        <v>6</v>
      </c>
      <c r="D47" s="102" t="s">
        <v>324</v>
      </c>
      <c r="E47" s="102" t="s">
        <v>49</v>
      </c>
      <c r="F47" s="102">
        <v>3</v>
      </c>
      <c r="G47" s="102">
        <v>1</v>
      </c>
      <c r="H47" s="102" t="s">
        <v>303</v>
      </c>
      <c r="I47" s="102"/>
      <c r="J47" s="102"/>
      <c r="K47" s="102" t="s">
        <v>31</v>
      </c>
      <c r="L47" s="126" t="s">
        <v>54</v>
      </c>
      <c r="M47" s="126" t="s">
        <v>268</v>
      </c>
      <c r="N47" s="126" t="s">
        <v>170</v>
      </c>
      <c r="O47" s="126"/>
      <c r="P47" s="126"/>
      <c r="Q47" s="126" t="s">
        <v>111</v>
      </c>
      <c r="R47" s="126" t="s">
        <v>272</v>
      </c>
      <c r="S47" s="126"/>
      <c r="T47" s="126"/>
      <c r="U47" s="126"/>
      <c r="V47" s="127"/>
      <c r="AC47" s="2" t="s">
        <v>115</v>
      </c>
      <c r="AD47" s="2" t="s">
        <v>67</v>
      </c>
      <c r="AE47" s="2">
        <f t="shared" si="17"/>
        <v>1</v>
      </c>
      <c r="AF47" s="5">
        <f t="shared" si="18"/>
        <v>0</v>
      </c>
      <c r="AG47" s="6">
        <f t="shared" si="19"/>
        <v>0</v>
      </c>
      <c r="AH47" s="7">
        <f t="shared" si="20"/>
        <v>1</v>
      </c>
      <c r="AI47" s="26">
        <f>AF47*3+AG47</f>
        <v>0</v>
      </c>
      <c r="AJ47" s="23">
        <f t="shared" si="22"/>
        <v>0</v>
      </c>
      <c r="AK47" s="2">
        <f t="shared" si="23"/>
        <v>2</v>
      </c>
      <c r="AL47" s="2">
        <f t="shared" si="24"/>
        <v>8</v>
      </c>
      <c r="AM47" s="2">
        <f t="shared" si="25"/>
        <v>-6</v>
      </c>
    </row>
    <row r="48" spans="1:39">
      <c r="A48" s="98" t="s">
        <v>115</v>
      </c>
      <c r="B48" s="128">
        <v>45070</v>
      </c>
      <c r="C48" s="103" t="s">
        <v>128</v>
      </c>
      <c r="D48" s="103" t="s">
        <v>139</v>
      </c>
      <c r="E48" s="103" t="s">
        <v>45</v>
      </c>
      <c r="F48" s="103">
        <v>3</v>
      </c>
      <c r="G48" s="103">
        <v>0</v>
      </c>
      <c r="H48" s="103" t="s">
        <v>304</v>
      </c>
      <c r="I48" s="103"/>
      <c r="J48" s="103"/>
      <c r="K48" s="103" t="s">
        <v>31</v>
      </c>
      <c r="L48" s="129" t="s">
        <v>272</v>
      </c>
      <c r="M48" s="129" t="s">
        <v>111</v>
      </c>
      <c r="N48" s="129" t="s">
        <v>279</v>
      </c>
      <c r="O48" s="129"/>
      <c r="P48" s="129"/>
      <c r="Q48" s="129" t="s">
        <v>170</v>
      </c>
      <c r="R48" s="129" t="s">
        <v>112</v>
      </c>
      <c r="S48" s="129" t="s">
        <v>143</v>
      </c>
      <c r="T48" s="129"/>
      <c r="U48" s="129"/>
      <c r="V48" s="130">
        <v>2460</v>
      </c>
    </row>
    <row r="49" spans="1:22">
      <c r="A49" s="110" t="s">
        <v>115</v>
      </c>
      <c r="B49" s="109">
        <v>45105</v>
      </c>
      <c r="C49" s="90" t="s">
        <v>129</v>
      </c>
      <c r="D49" s="90" t="s">
        <v>142</v>
      </c>
      <c r="E49" s="90" t="s">
        <v>45</v>
      </c>
      <c r="F49" s="90">
        <v>3</v>
      </c>
      <c r="G49" s="90">
        <v>2</v>
      </c>
      <c r="H49" s="90" t="s">
        <v>304</v>
      </c>
      <c r="I49" s="90"/>
      <c r="J49" s="90"/>
      <c r="K49" s="90" t="s">
        <v>31</v>
      </c>
      <c r="L49" s="91" t="s">
        <v>300</v>
      </c>
      <c r="M49" s="91" t="s">
        <v>271</v>
      </c>
      <c r="N49" s="91" t="s">
        <v>271</v>
      </c>
      <c r="O49" s="91"/>
      <c r="P49" s="91"/>
      <c r="Q49" s="91"/>
      <c r="R49" s="91"/>
      <c r="S49" s="91" t="s">
        <v>70</v>
      </c>
      <c r="T49" s="91"/>
      <c r="U49" s="91"/>
      <c r="V49" s="95">
        <v>3121</v>
      </c>
    </row>
    <row r="50" spans="1:22" ht="17.5" customHeight="1" thickBot="1">
      <c r="A50" s="100" t="s">
        <v>115</v>
      </c>
      <c r="B50" s="112">
        <v>45231</v>
      </c>
      <c r="C50" s="104" t="s">
        <v>130</v>
      </c>
      <c r="D50" s="104" t="s">
        <v>67</v>
      </c>
      <c r="E50" s="104" t="s">
        <v>49</v>
      </c>
      <c r="F50" s="104">
        <v>1</v>
      </c>
      <c r="G50" s="104">
        <v>3</v>
      </c>
      <c r="H50" s="104" t="s">
        <v>252</v>
      </c>
      <c r="I50" s="104" t="s">
        <v>253</v>
      </c>
      <c r="J50" s="104" t="s">
        <v>254</v>
      </c>
      <c r="K50" s="104" t="s">
        <v>33</v>
      </c>
      <c r="L50" s="113" t="s">
        <v>70</v>
      </c>
      <c r="M50" s="113"/>
      <c r="N50" s="113"/>
      <c r="O50" s="113"/>
      <c r="P50" s="113"/>
      <c r="Q50" s="113" t="s">
        <v>93</v>
      </c>
      <c r="R50" s="113"/>
      <c r="S50" s="113"/>
      <c r="T50" s="113"/>
      <c r="U50" s="113"/>
      <c r="V50" s="114"/>
    </row>
    <row r="51" spans="1:22">
      <c r="P51" t="s">
        <v>326</v>
      </c>
    </row>
    <row r="52" spans="1:22">
      <c r="L52" s="6" t="s">
        <v>2</v>
      </c>
      <c r="M52" s="6" t="s">
        <v>122</v>
      </c>
      <c r="N52" s="6" t="s">
        <v>123</v>
      </c>
      <c r="O52" s="6" t="s">
        <v>287</v>
      </c>
      <c r="P52" s="58" t="s">
        <v>123</v>
      </c>
      <c r="Q52" s="58" t="s">
        <v>287</v>
      </c>
      <c r="R52" s="6" t="s">
        <v>288</v>
      </c>
    </row>
    <row r="53" spans="1:22">
      <c r="L53" s="2" t="s">
        <v>42</v>
      </c>
      <c r="M53" s="2">
        <v>19</v>
      </c>
      <c r="N53" s="96">
        <f>SUMIFS(V3:V50,A3:A50,L53)</f>
        <v>169826</v>
      </c>
      <c r="O53" s="97">
        <f>N53/M53</f>
        <v>8938.21052631579</v>
      </c>
      <c r="P53" s="136">
        <v>99968</v>
      </c>
      <c r="Q53" s="137">
        <f>P53/M53</f>
        <v>5261.4736842105267</v>
      </c>
      <c r="R53" s="135">
        <f>(N53-P53)/N53</f>
        <v>0.41135044103965235</v>
      </c>
      <c r="S53" s="131"/>
    </row>
    <row r="54" spans="1:22">
      <c r="L54" s="132" t="s">
        <v>322</v>
      </c>
      <c r="M54" s="132">
        <v>4</v>
      </c>
      <c r="N54" s="133">
        <f>SUMIFS(V4:V51,A4:A51,L54)</f>
        <v>21571</v>
      </c>
      <c r="O54" s="134">
        <f>N54/M54</f>
        <v>5392.75</v>
      </c>
    </row>
    <row r="55" spans="1:22">
      <c r="L55" s="2" t="s">
        <v>115</v>
      </c>
      <c r="M55" s="2">
        <v>2</v>
      </c>
      <c r="N55" s="96">
        <f>SUMIFS(V3:V50,A3:A50,L55)</f>
        <v>5581</v>
      </c>
      <c r="O55" s="97">
        <f>N55/M55</f>
        <v>2790.5</v>
      </c>
    </row>
    <row r="56" spans="1:22">
      <c r="L56" s="4" t="s">
        <v>60</v>
      </c>
      <c r="M56" s="4">
        <f>SUM(M53:M55)</f>
        <v>25</v>
      </c>
      <c r="N56" s="138">
        <f>SUM(N53:N55)</f>
        <v>196978</v>
      </c>
      <c r="O56" s="139">
        <f>N56/M56</f>
        <v>7879.12</v>
      </c>
    </row>
  </sheetData>
  <autoFilter ref="A2:V56" xr:uid="{00000000-0009-0000-0000-00000A000000}"/>
  <phoneticPr fontId="3" type="noConversion"/>
  <conditionalFormatting sqref="V4:V38">
    <cfRule type="top10" dxfId="49" priority="4" percent="1" bottom="1" rank="1"/>
    <cfRule type="dataBar" priority="6">
      <dataBar>
        <cfvo type="min"/>
        <cfvo type="max"/>
        <color rgb="FF008AEF"/>
      </dataBar>
    </cfRule>
    <cfRule type="top10" priority="9" rank="1"/>
  </conditionalFormatting>
  <conditionalFormatting sqref="V4:V39">
    <cfRule type="dataBar" priority="2">
      <dataBar>
        <cfvo type="min"/>
        <cfvo type="max"/>
        <color rgb="FF008AEF"/>
      </dataBar>
    </cfRule>
  </conditionalFormatting>
  <conditionalFormatting sqref="V41:V44">
    <cfRule type="dataBar" priority="7">
      <dataBar>
        <cfvo type="min"/>
        <cfvo type="max"/>
        <color rgb="FF008AEF"/>
      </dataBar>
    </cfRule>
  </conditionalFormatting>
  <conditionalFormatting sqref="V41:V47">
    <cfRule type="dataBar" priority="1">
      <dataBar>
        <cfvo type="min"/>
        <cfvo type="max"/>
        <color rgb="FF008AEF"/>
      </dataBar>
    </cfRule>
  </conditionalFormatting>
  <conditionalFormatting sqref="V48:V49">
    <cfRule type="top10" dxfId="48" priority="3" percent="1" bottom="1" rank="10"/>
    <cfRule type="dataBar" priority="5">
      <dataBar>
        <cfvo type="min"/>
        <cfvo type="max"/>
        <color rgb="FF638EC6"/>
      </dataBar>
    </cfRule>
  </conditionalFormatting>
  <conditionalFormatting sqref="AJ30:AJ47">
    <cfRule type="cellIs" dxfId="47" priority="10" operator="greaterThan">
      <formula>0.5</formula>
    </cfRule>
  </conditionalFormatting>
  <conditionalFormatting sqref="AW3:AW11">
    <cfRule type="top10" dxfId="46" priority="17" percent="1" rank="5"/>
  </conditionalFormatting>
  <conditionalFormatting sqref="AW12:AW17">
    <cfRule type="top10" dxfId="45" priority="12" percent="1" rank="5"/>
  </conditionalFormatting>
  <conditionalFormatting sqref="AW19:AW29">
    <cfRule type="top10" dxfId="44" priority="15" percent="1" rank="10"/>
    <cfRule type="top10" dxfId="43" priority="16" percent="1" rank="5"/>
  </conditionalFormatting>
  <conditionalFormatting sqref="AY3:AY11">
    <cfRule type="aboveAverage" dxfId="42" priority="19"/>
    <cfRule type="top10" dxfId="41" priority="22" percent="1" rank="10"/>
  </conditionalFormatting>
  <conditionalFormatting sqref="AY12:AY17">
    <cfRule type="aboveAverage" dxfId="40" priority="13"/>
    <cfRule type="top10" dxfId="39" priority="14" percent="1" rank="10"/>
  </conditionalFormatting>
  <conditionalFormatting sqref="AY19:AY29">
    <cfRule type="aboveAverage" dxfId="38" priority="20"/>
    <cfRule type="top10" dxfId="37" priority="21" percent="1" rank="10"/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40"/>
  <sheetViews>
    <sheetView showGridLines="0" zoomScale="85" zoomScaleNormal="85" workbookViewId="0">
      <selection activeCell="Y25" sqref="Y25:AH40"/>
    </sheetView>
  </sheetViews>
  <sheetFormatPr defaultRowHeight="17"/>
  <cols>
    <col min="1" max="1" width="9.58203125" style="18" bestFit="1" customWidth="1"/>
    <col min="2" max="3" width="7.33203125" style="18" bestFit="1" customWidth="1"/>
    <col min="4" max="4" width="8.25" style="18" bestFit="1" customWidth="1"/>
    <col min="5" max="6" width="5.5" style="18" bestFit="1" customWidth="1"/>
    <col min="7" max="7" width="9.25" style="18" hidden="1" customWidth="1"/>
    <col min="8" max="8" width="7.08203125" style="18" hidden="1" customWidth="1"/>
    <col min="9" max="9" width="7.33203125" style="18" hidden="1" customWidth="1"/>
    <col min="10" max="10" width="5.5" style="18" bestFit="1" customWidth="1"/>
    <col min="11" max="12" width="11" style="452" bestFit="1" customWidth="1"/>
    <col min="13" max="13" width="7.08203125" style="452" bestFit="1" customWidth="1"/>
    <col min="14" max="15" width="11" style="452" bestFit="1" customWidth="1"/>
    <col min="16" max="16" width="7.08203125" style="452" bestFit="1" customWidth="1"/>
    <col min="17" max="17" width="3.25" style="452" bestFit="1" customWidth="1"/>
    <col min="18" max="18" width="3.33203125" style="452" bestFit="1" customWidth="1"/>
    <col min="19" max="19" width="11" style="452" bestFit="1" customWidth="1"/>
    <col min="20" max="22" width="5.5" style="452" bestFit="1" customWidth="1"/>
    <col min="23" max="23" width="9.25" style="452" bestFit="1" customWidth="1"/>
    <col min="24" max="24" width="8.25" style="452" bestFit="1" customWidth="1"/>
    <col min="25" max="25" width="9.25" style="452" bestFit="1" customWidth="1"/>
    <col min="26" max="26" width="5.5" style="452" bestFit="1" customWidth="1"/>
    <col min="27" max="28" width="3.25" style="452" bestFit="1" customWidth="1"/>
    <col min="29" max="29" width="3.58203125" style="452" bestFit="1" customWidth="1"/>
    <col min="30" max="30" width="6" style="452" bestFit="1" customWidth="1"/>
    <col min="31" max="31" width="8.58203125" style="452" hidden="1" customWidth="1"/>
  </cols>
  <sheetData>
    <row r="1" spans="1:43" ht="17.5" customHeight="1" thickBot="1"/>
    <row r="2" spans="1:43">
      <c r="A2" s="33" t="s">
        <v>3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9</v>
      </c>
      <c r="G2" s="34" t="s">
        <v>11</v>
      </c>
      <c r="H2" s="34" t="s">
        <v>12</v>
      </c>
      <c r="I2" s="34" t="s">
        <v>13</v>
      </c>
      <c r="J2" s="39" t="s">
        <v>10</v>
      </c>
      <c r="K2" s="44" t="s">
        <v>14</v>
      </c>
      <c r="L2" s="45" t="s">
        <v>15</v>
      </c>
      <c r="M2" s="46" t="s">
        <v>16</v>
      </c>
      <c r="N2" s="140" t="s">
        <v>18</v>
      </c>
      <c r="O2" s="48" t="s">
        <v>19</v>
      </c>
      <c r="P2" s="43" t="s">
        <v>20</v>
      </c>
      <c r="S2" s="33" t="s">
        <v>24</v>
      </c>
      <c r="T2" s="38" t="s">
        <v>8</v>
      </c>
      <c r="U2" s="38" t="s">
        <v>28</v>
      </c>
      <c r="V2" s="38" t="s">
        <v>29</v>
      </c>
      <c r="Y2" s="4" t="s">
        <v>11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  <c r="AF2" s="4" t="s">
        <v>138</v>
      </c>
      <c r="AJ2" s="4" t="s">
        <v>245</v>
      </c>
      <c r="AK2" s="4" t="s">
        <v>30</v>
      </c>
      <c r="AL2" s="4" t="s">
        <v>31</v>
      </c>
      <c r="AM2" s="4" t="s">
        <v>32</v>
      </c>
      <c r="AN2" s="4" t="s">
        <v>33</v>
      </c>
      <c r="AO2" s="4" t="s">
        <v>34</v>
      </c>
      <c r="AP2" s="4" t="s">
        <v>35</v>
      </c>
      <c r="AQ2" s="4" t="s">
        <v>138</v>
      </c>
    </row>
    <row r="3" spans="1:43">
      <c r="A3" s="49">
        <v>44982</v>
      </c>
      <c r="B3" s="30">
        <v>1</v>
      </c>
      <c r="C3" s="30" t="s">
        <v>44</v>
      </c>
      <c r="D3" s="30" t="s">
        <v>49</v>
      </c>
      <c r="E3" s="30">
        <v>1</v>
      </c>
      <c r="F3" s="30">
        <v>2</v>
      </c>
      <c r="G3" s="30" t="s">
        <v>247</v>
      </c>
      <c r="H3" s="30" t="s">
        <v>255</v>
      </c>
      <c r="I3" s="30" t="s">
        <v>249</v>
      </c>
      <c r="J3" s="40" t="s">
        <v>33</v>
      </c>
      <c r="K3" s="53" t="s">
        <v>278</v>
      </c>
      <c r="L3" s="15"/>
      <c r="M3" s="54"/>
      <c r="N3" s="141"/>
      <c r="O3" s="56"/>
      <c r="P3" s="54"/>
      <c r="S3" s="72" t="s">
        <v>300</v>
      </c>
      <c r="T3" s="81">
        <f t="shared" ref="T3:T40" si="0">COUNTIF(K$3:M$40,S3)</f>
        <v>6</v>
      </c>
      <c r="U3" s="81">
        <f t="shared" ref="U3:U40" si="1">COUNTIF(N$3:P$40,S3)</f>
        <v>5</v>
      </c>
      <c r="V3" s="51">
        <f t="shared" ref="V3:V40" si="2">T3+U3</f>
        <v>11</v>
      </c>
      <c r="Y3" s="20" t="s">
        <v>250</v>
      </c>
      <c r="Z3" s="20">
        <f>SUM(AA3:AC3)</f>
        <v>14</v>
      </c>
      <c r="AA3" s="28">
        <f>COUNTIFS(G:G,Y3,J:J,AA$2)</f>
        <v>2</v>
      </c>
      <c r="AB3" s="28">
        <f>COUNTIFS(G:G,Y3,J:J,AB$2)</f>
        <v>8</v>
      </c>
      <c r="AC3" s="29">
        <f>COUNTIFS(G:G,Y3,J:J,AC$2)</f>
        <v>4</v>
      </c>
      <c r="AD3" s="8">
        <f>AA3*3+AB3</f>
        <v>14</v>
      </c>
      <c r="AE3" s="23">
        <f>AA3/Z3</f>
        <v>0.14285714285714285</v>
      </c>
      <c r="AF3" s="25">
        <f>AD3/Z3</f>
        <v>1</v>
      </c>
      <c r="AJ3" s="2" t="s">
        <v>251</v>
      </c>
      <c r="AK3" s="2">
        <f t="shared" ref="AK3:AK13" si="3">SUM(AL3:AN3)</f>
        <v>4</v>
      </c>
      <c r="AL3" s="5">
        <f t="shared" ref="AL3:AL13" si="4">COUNTIFS(H:H,AJ3,J:J,AL$2)</f>
        <v>2</v>
      </c>
      <c r="AM3" s="6">
        <f t="shared" ref="AM3:AM13" si="5">COUNTIFS(H:H,AJ3,J:J,AM$2)</f>
        <v>0</v>
      </c>
      <c r="AN3" s="7">
        <f t="shared" ref="AN3:AN13" si="6">COUNTIFS(H:H,AJ3,J:J,AN$2)</f>
        <v>2</v>
      </c>
      <c r="AO3" s="26">
        <f t="shared" ref="AO3:AO13" si="7">AL3*3+AM3</f>
        <v>6</v>
      </c>
      <c r="AP3" s="11">
        <f t="shared" ref="AP3:AP13" si="8">AL3/AK3</f>
        <v>0.5</v>
      </c>
      <c r="AQ3" s="22">
        <f t="shared" ref="AQ3:AQ13" si="9">AO3/AK3</f>
        <v>1.5</v>
      </c>
    </row>
    <row r="4" spans="1:43">
      <c r="A4" s="49">
        <v>44989</v>
      </c>
      <c r="B4" s="30">
        <v>2</v>
      </c>
      <c r="C4" s="30" t="s">
        <v>61</v>
      </c>
      <c r="D4" s="30" t="s">
        <v>45</v>
      </c>
      <c r="E4" s="30">
        <v>3</v>
      </c>
      <c r="F4" s="30">
        <v>3</v>
      </c>
      <c r="G4" s="30" t="s">
        <v>247</v>
      </c>
      <c r="H4" s="30" t="s">
        <v>301</v>
      </c>
      <c r="I4" s="30" t="s">
        <v>249</v>
      </c>
      <c r="J4" s="40" t="s">
        <v>32</v>
      </c>
      <c r="K4" s="53" t="s">
        <v>73</v>
      </c>
      <c r="L4" s="15" t="s">
        <v>300</v>
      </c>
      <c r="M4" s="54" t="s">
        <v>272</v>
      </c>
      <c r="N4" s="141"/>
      <c r="O4" s="56" t="s">
        <v>261</v>
      </c>
      <c r="P4" s="54"/>
      <c r="S4" s="72" t="s">
        <v>70</v>
      </c>
      <c r="T4" s="81">
        <f t="shared" si="0"/>
        <v>7</v>
      </c>
      <c r="U4" s="81">
        <f t="shared" si="1"/>
        <v>6</v>
      </c>
      <c r="V4" s="51">
        <f t="shared" si="2"/>
        <v>13</v>
      </c>
      <c r="Y4" s="2" t="s">
        <v>252</v>
      </c>
      <c r="Z4" s="2">
        <f>SUM(AA4:AC4)</f>
        <v>16</v>
      </c>
      <c r="AA4" s="28">
        <f>COUNTIFS(G:G,Y4,J:J,AA$2)</f>
        <v>9</v>
      </c>
      <c r="AB4" s="28">
        <f>COUNTIFS(G:G,Y4,J:J,AB$2)</f>
        <v>4</v>
      </c>
      <c r="AC4" s="29">
        <f>COUNTIFS(G:G,Y4,J:J,AC$2)</f>
        <v>3</v>
      </c>
      <c r="AD4" s="8">
        <f>AA4*3+AB4</f>
        <v>31</v>
      </c>
      <c r="AE4" s="10">
        <f>AA4/Z4</f>
        <v>0.5625</v>
      </c>
      <c r="AF4" s="22">
        <f>AD4/Z4</f>
        <v>1.9375</v>
      </c>
      <c r="AJ4" s="2" t="s">
        <v>302</v>
      </c>
      <c r="AK4" s="2">
        <f t="shared" si="3"/>
        <v>2</v>
      </c>
      <c r="AL4" s="5">
        <f t="shared" si="4"/>
        <v>2</v>
      </c>
      <c r="AM4" s="6">
        <f t="shared" si="5"/>
        <v>0</v>
      </c>
      <c r="AN4" s="7">
        <f t="shared" si="6"/>
        <v>0</v>
      </c>
      <c r="AO4" s="8">
        <f t="shared" si="7"/>
        <v>6</v>
      </c>
      <c r="AP4" s="11">
        <f t="shared" si="8"/>
        <v>1</v>
      </c>
      <c r="AQ4" s="22">
        <f t="shared" si="9"/>
        <v>3</v>
      </c>
    </row>
    <row r="5" spans="1:43">
      <c r="A5" s="49">
        <v>44997</v>
      </c>
      <c r="B5" s="30">
        <v>3</v>
      </c>
      <c r="C5" s="30" t="s">
        <v>77</v>
      </c>
      <c r="D5" s="30" t="s">
        <v>45</v>
      </c>
      <c r="E5" s="30">
        <v>1</v>
      </c>
      <c r="F5" s="30">
        <v>0</v>
      </c>
      <c r="G5" s="30" t="s">
        <v>252</v>
      </c>
      <c r="H5" s="30" t="s">
        <v>253</v>
      </c>
      <c r="I5" s="30" t="s">
        <v>263</v>
      </c>
      <c r="J5" s="40" t="s">
        <v>31</v>
      </c>
      <c r="K5" s="53" t="s">
        <v>70</v>
      </c>
      <c r="L5" s="15"/>
      <c r="M5" s="54"/>
      <c r="N5" s="141" t="s">
        <v>300</v>
      </c>
      <c r="O5" s="56"/>
      <c r="P5" s="54"/>
      <c r="S5" s="72" t="s">
        <v>272</v>
      </c>
      <c r="T5" s="81">
        <f t="shared" si="0"/>
        <v>3</v>
      </c>
      <c r="U5" s="81">
        <f t="shared" si="1"/>
        <v>2</v>
      </c>
      <c r="V5" s="51">
        <f t="shared" si="2"/>
        <v>5</v>
      </c>
      <c r="Y5" s="2" t="s">
        <v>256</v>
      </c>
      <c r="Z5" s="2">
        <f>SUM(AA5:AC5)</f>
        <v>8</v>
      </c>
      <c r="AA5" s="28">
        <f>COUNTIFS(G:G,Y5,J:J,AA$2)</f>
        <v>3</v>
      </c>
      <c r="AB5" s="28">
        <f>COUNTIFS(G:G,Y5,J:J,AB$2)</f>
        <v>2</v>
      </c>
      <c r="AC5" s="29">
        <f>COUNTIFS(G:G,Y5,J:J,AC$2)</f>
        <v>3</v>
      </c>
      <c r="AD5" s="8">
        <f>AA5*3+AB5</f>
        <v>11</v>
      </c>
      <c r="AE5" s="10">
        <f>AA5/Z5</f>
        <v>0.375</v>
      </c>
      <c r="AF5" s="22">
        <f>AD5/Z5</f>
        <v>1.375</v>
      </c>
      <c r="AJ5" s="2" t="s">
        <v>301</v>
      </c>
      <c r="AK5" s="2">
        <f t="shared" si="3"/>
        <v>7</v>
      </c>
      <c r="AL5" s="5">
        <f t="shared" si="4"/>
        <v>2</v>
      </c>
      <c r="AM5" s="6">
        <f t="shared" si="5"/>
        <v>4</v>
      </c>
      <c r="AN5" s="7">
        <f t="shared" si="6"/>
        <v>1</v>
      </c>
      <c r="AO5" s="8">
        <f t="shared" si="7"/>
        <v>10</v>
      </c>
      <c r="AP5" s="11">
        <f t="shared" si="8"/>
        <v>0.2857142857142857</v>
      </c>
      <c r="AQ5" s="22">
        <f t="shared" si="9"/>
        <v>1.4285714285714286</v>
      </c>
    </row>
    <row r="6" spans="1:43">
      <c r="A6" s="49">
        <v>45003</v>
      </c>
      <c r="B6" s="30">
        <v>4</v>
      </c>
      <c r="C6" s="30" t="s">
        <v>48</v>
      </c>
      <c r="D6" s="30" t="s">
        <v>49</v>
      </c>
      <c r="E6" s="30">
        <v>0</v>
      </c>
      <c r="F6" s="30">
        <v>5</v>
      </c>
      <c r="G6" s="30" t="s">
        <v>259</v>
      </c>
      <c r="H6" s="30" t="s">
        <v>251</v>
      </c>
      <c r="I6" s="30" t="s">
        <v>260</v>
      </c>
      <c r="J6" s="40" t="s">
        <v>33</v>
      </c>
      <c r="K6" s="53"/>
      <c r="L6" s="15"/>
      <c r="M6" s="54"/>
      <c r="N6" s="141"/>
      <c r="O6" s="56"/>
      <c r="P6" s="54"/>
      <c r="S6" s="72" t="s">
        <v>143</v>
      </c>
      <c r="T6" s="81">
        <f t="shared" si="0"/>
        <v>3</v>
      </c>
      <c r="U6" s="81">
        <f t="shared" si="1"/>
        <v>4</v>
      </c>
      <c r="V6" s="51">
        <f t="shared" si="2"/>
        <v>7</v>
      </c>
      <c r="Y6" s="2"/>
      <c r="Z6" s="2"/>
      <c r="AA6" s="30"/>
      <c r="AB6" s="15"/>
      <c r="AC6" s="16"/>
      <c r="AD6" s="8"/>
      <c r="AE6" s="23"/>
      <c r="AF6" s="22"/>
      <c r="AJ6" s="20" t="s">
        <v>255</v>
      </c>
      <c r="AK6" s="2">
        <f t="shared" si="3"/>
        <v>2</v>
      </c>
      <c r="AL6" s="5">
        <f t="shared" si="4"/>
        <v>0</v>
      </c>
      <c r="AM6" s="6">
        <f t="shared" si="5"/>
        <v>1</v>
      </c>
      <c r="AN6" s="7">
        <f t="shared" si="6"/>
        <v>1</v>
      </c>
      <c r="AO6" s="26">
        <f t="shared" si="7"/>
        <v>1</v>
      </c>
      <c r="AP6" s="11">
        <f t="shared" si="8"/>
        <v>0</v>
      </c>
      <c r="AQ6" s="22">
        <f t="shared" si="9"/>
        <v>0.5</v>
      </c>
    </row>
    <row r="7" spans="1:43">
      <c r="A7" s="49">
        <v>45017</v>
      </c>
      <c r="B7" s="30">
        <v>5</v>
      </c>
      <c r="C7" s="30" t="s">
        <v>265</v>
      </c>
      <c r="D7" s="30" t="s">
        <v>45</v>
      </c>
      <c r="E7" s="30">
        <v>0</v>
      </c>
      <c r="F7" s="30">
        <v>0</v>
      </c>
      <c r="G7" s="30" t="s">
        <v>252</v>
      </c>
      <c r="H7" s="30" t="s">
        <v>253</v>
      </c>
      <c r="I7" s="30" t="s">
        <v>263</v>
      </c>
      <c r="J7" s="40" t="s">
        <v>32</v>
      </c>
      <c r="K7" s="53"/>
      <c r="L7" s="15"/>
      <c r="M7" s="54"/>
      <c r="N7" s="141"/>
      <c r="O7" s="56"/>
      <c r="P7" s="54"/>
      <c r="S7" s="72" t="s">
        <v>271</v>
      </c>
      <c r="T7" s="81">
        <f t="shared" si="0"/>
        <v>6</v>
      </c>
      <c r="U7" s="81">
        <f t="shared" si="1"/>
        <v>0</v>
      </c>
      <c r="V7" s="51">
        <f t="shared" si="2"/>
        <v>6</v>
      </c>
      <c r="X7" s="4" t="s">
        <v>7</v>
      </c>
      <c r="Y7" s="4" t="s">
        <v>11</v>
      </c>
      <c r="Z7" s="4" t="s">
        <v>30</v>
      </c>
      <c r="AA7" s="4" t="s">
        <v>31</v>
      </c>
      <c r="AB7" s="4" t="s">
        <v>32</v>
      </c>
      <c r="AC7" s="4" t="s">
        <v>33</v>
      </c>
      <c r="AD7" s="4" t="s">
        <v>34</v>
      </c>
      <c r="AE7" s="4" t="s">
        <v>35</v>
      </c>
      <c r="AF7" s="4" t="s">
        <v>138</v>
      </c>
      <c r="AJ7" s="20" t="s">
        <v>257</v>
      </c>
      <c r="AK7" s="2">
        <f t="shared" si="3"/>
        <v>8</v>
      </c>
      <c r="AL7" s="5">
        <f t="shared" si="4"/>
        <v>3</v>
      </c>
      <c r="AM7" s="6">
        <f t="shared" si="5"/>
        <v>1</v>
      </c>
      <c r="AN7" s="7">
        <f t="shared" si="6"/>
        <v>4</v>
      </c>
      <c r="AO7" s="8">
        <f t="shared" si="7"/>
        <v>10</v>
      </c>
      <c r="AP7" s="11">
        <f t="shared" si="8"/>
        <v>0.375</v>
      </c>
      <c r="AQ7" s="22">
        <f t="shared" si="9"/>
        <v>1.25</v>
      </c>
    </row>
    <row r="8" spans="1:43">
      <c r="A8" s="49">
        <v>45025</v>
      </c>
      <c r="B8" s="30">
        <v>6</v>
      </c>
      <c r="C8" s="30" t="s">
        <v>67</v>
      </c>
      <c r="D8" s="30" t="s">
        <v>49</v>
      </c>
      <c r="E8" s="30">
        <v>0</v>
      </c>
      <c r="F8" s="30">
        <v>2</v>
      </c>
      <c r="G8" s="30" t="s">
        <v>252</v>
      </c>
      <c r="H8" s="30" t="s">
        <v>257</v>
      </c>
      <c r="I8" s="30" t="s">
        <v>270</v>
      </c>
      <c r="J8" s="40" t="s">
        <v>33</v>
      </c>
      <c r="K8" s="53"/>
      <c r="L8" s="15"/>
      <c r="M8" s="54"/>
      <c r="N8" s="141"/>
      <c r="O8" s="56"/>
      <c r="P8" s="54"/>
      <c r="S8" s="72" t="s">
        <v>46</v>
      </c>
      <c r="T8" s="81">
        <f t="shared" si="0"/>
        <v>3</v>
      </c>
      <c r="U8" s="81">
        <f t="shared" si="1"/>
        <v>1</v>
      </c>
      <c r="V8" s="51">
        <f t="shared" si="2"/>
        <v>4</v>
      </c>
      <c r="X8" s="2" t="s">
        <v>45</v>
      </c>
      <c r="Y8" s="2" t="s">
        <v>250</v>
      </c>
      <c r="Z8" s="2">
        <f>SUM(AA8:AC8)</f>
        <v>8</v>
      </c>
      <c r="AA8" s="5">
        <f>COUNTIFS(D:D,X8,G:G,Y8,J:J,AA$7)</f>
        <v>1</v>
      </c>
      <c r="AB8" s="5">
        <f>COUNTIFS(D:D,X8,G:G,Y8,J:J,AB$7)</f>
        <v>5</v>
      </c>
      <c r="AC8" s="5">
        <f>COUNTIFS(D:D,X8,G:G,Y8,J:J,AC$7)</f>
        <v>2</v>
      </c>
      <c r="AD8" s="8">
        <f>AA8*3+AB8</f>
        <v>8</v>
      </c>
      <c r="AE8" s="9">
        <f>AA8/Z8</f>
        <v>0.125</v>
      </c>
      <c r="AF8" s="22">
        <f>AD8/Z8</f>
        <v>1</v>
      </c>
      <c r="AJ8" s="20" t="s">
        <v>253</v>
      </c>
      <c r="AK8" s="2">
        <f t="shared" si="3"/>
        <v>4</v>
      </c>
      <c r="AL8" s="5">
        <f t="shared" si="4"/>
        <v>3</v>
      </c>
      <c r="AM8" s="6">
        <f t="shared" si="5"/>
        <v>1</v>
      </c>
      <c r="AN8" s="7">
        <f t="shared" si="6"/>
        <v>0</v>
      </c>
      <c r="AO8" s="8">
        <f t="shared" si="7"/>
        <v>10</v>
      </c>
      <c r="AP8" s="11">
        <f t="shared" si="8"/>
        <v>0.75</v>
      </c>
      <c r="AQ8" s="22">
        <f t="shared" si="9"/>
        <v>2.5</v>
      </c>
    </row>
    <row r="9" spans="1:43">
      <c r="A9" s="49">
        <v>45032</v>
      </c>
      <c r="B9" s="30">
        <v>7</v>
      </c>
      <c r="C9" s="30" t="s">
        <v>71</v>
      </c>
      <c r="D9" s="30" t="s">
        <v>49</v>
      </c>
      <c r="E9" s="30">
        <v>2</v>
      </c>
      <c r="F9" s="30">
        <v>0</v>
      </c>
      <c r="G9" s="30" t="s">
        <v>259</v>
      </c>
      <c r="H9" s="30" t="s">
        <v>251</v>
      </c>
      <c r="I9" s="30" t="s">
        <v>260</v>
      </c>
      <c r="J9" s="40" t="s">
        <v>31</v>
      </c>
      <c r="K9" s="53" t="s">
        <v>281</v>
      </c>
      <c r="L9" s="15" t="s">
        <v>300</v>
      </c>
      <c r="M9" s="54"/>
      <c r="N9" s="141" t="s">
        <v>70</v>
      </c>
      <c r="O9" s="56"/>
      <c r="P9" s="54"/>
      <c r="S9" s="72" t="s">
        <v>111</v>
      </c>
      <c r="T9" s="81">
        <f t="shared" si="0"/>
        <v>2</v>
      </c>
      <c r="U9" s="81">
        <f t="shared" si="1"/>
        <v>1</v>
      </c>
      <c r="V9" s="51">
        <f t="shared" si="2"/>
        <v>3</v>
      </c>
      <c r="X9" s="2" t="s">
        <v>45</v>
      </c>
      <c r="Y9" s="2" t="s">
        <v>252</v>
      </c>
      <c r="Z9" s="2">
        <f>SUM(AA9:AC9)</f>
        <v>9</v>
      </c>
      <c r="AA9" s="5">
        <f>COUNTIFS(D:D,X9,G:G,Y9,J:J,AA$7)</f>
        <v>4</v>
      </c>
      <c r="AB9" s="5">
        <f>COUNTIFS(D:D,X9,G:G,Y9,J:J,AB$7)</f>
        <v>3</v>
      </c>
      <c r="AC9" s="5">
        <f>COUNTIFS(D:D,X9,G:G,Y9,J:J,AC$7)</f>
        <v>2</v>
      </c>
      <c r="AD9" s="8">
        <f>AA9*3+AB9</f>
        <v>15</v>
      </c>
      <c r="AE9" s="9">
        <f>AA9/Z9</f>
        <v>0.44444444444444442</v>
      </c>
      <c r="AF9" s="22">
        <f>AD9/Z9</f>
        <v>1.6666666666666667</v>
      </c>
      <c r="AJ9" s="20" t="s">
        <v>248</v>
      </c>
      <c r="AK9" s="2">
        <f t="shared" si="3"/>
        <v>3</v>
      </c>
      <c r="AL9" s="5">
        <f t="shared" si="4"/>
        <v>0</v>
      </c>
      <c r="AM9" s="6">
        <f t="shared" si="5"/>
        <v>2</v>
      </c>
      <c r="AN9" s="7">
        <f t="shared" si="6"/>
        <v>1</v>
      </c>
      <c r="AO9" s="8">
        <f t="shared" si="7"/>
        <v>2</v>
      </c>
      <c r="AP9" s="11">
        <f t="shared" si="8"/>
        <v>0</v>
      </c>
      <c r="AQ9" s="22">
        <f t="shared" si="9"/>
        <v>0.66666666666666663</v>
      </c>
    </row>
    <row r="10" spans="1:43">
      <c r="A10" s="49">
        <v>45038</v>
      </c>
      <c r="B10" s="30">
        <v>8</v>
      </c>
      <c r="C10" s="30" t="s">
        <v>246</v>
      </c>
      <c r="D10" s="30" t="s">
        <v>45</v>
      </c>
      <c r="E10" s="30">
        <v>2</v>
      </c>
      <c r="F10" s="30">
        <v>2</v>
      </c>
      <c r="G10" s="30" t="s">
        <v>247</v>
      </c>
      <c r="H10" s="30" t="s">
        <v>248</v>
      </c>
      <c r="I10" s="30" t="s">
        <v>305</v>
      </c>
      <c r="J10" s="40" t="s">
        <v>32</v>
      </c>
      <c r="K10" s="53" t="s">
        <v>271</v>
      </c>
      <c r="L10" s="15" t="s">
        <v>271</v>
      </c>
      <c r="M10" s="54"/>
      <c r="N10" s="141" t="s">
        <v>300</v>
      </c>
      <c r="O10" s="56" t="s">
        <v>112</v>
      </c>
      <c r="P10" s="54"/>
      <c r="S10" s="72" t="s">
        <v>156</v>
      </c>
      <c r="T10" s="81">
        <f t="shared" si="0"/>
        <v>2</v>
      </c>
      <c r="U10" s="81">
        <f t="shared" si="1"/>
        <v>0</v>
      </c>
      <c r="V10" s="51">
        <f t="shared" si="2"/>
        <v>2</v>
      </c>
      <c r="X10" s="2" t="s">
        <v>45</v>
      </c>
      <c r="Y10" s="2" t="s">
        <v>256</v>
      </c>
      <c r="Z10" s="2">
        <f>SUM(AA10:AC10)</f>
        <v>2</v>
      </c>
      <c r="AA10" s="5">
        <f>COUNTIFS(D:D,X10,G:G,Y10,J:J,AA$7)</f>
        <v>2</v>
      </c>
      <c r="AB10" s="5">
        <f>COUNTIFS(D:D,X10,G:G,Y10,J:J,AB$7)</f>
        <v>0</v>
      </c>
      <c r="AC10" s="5">
        <f>COUNTIFS(D:D,X10,G:G,Y10,J:J,AC$7)</f>
        <v>0</v>
      </c>
      <c r="AD10" s="8">
        <f>AA10*3+AB10</f>
        <v>6</v>
      </c>
      <c r="AE10" s="9">
        <f>AA10/Z10</f>
        <v>1</v>
      </c>
      <c r="AF10" s="22">
        <f>AD10/Z10</f>
        <v>3</v>
      </c>
      <c r="AJ10" s="20" t="s">
        <v>306</v>
      </c>
      <c r="AK10" s="2">
        <f t="shared" si="3"/>
        <v>1</v>
      </c>
      <c r="AL10" s="5">
        <f t="shared" si="4"/>
        <v>0</v>
      </c>
      <c r="AM10" s="6">
        <f t="shared" si="5"/>
        <v>1</v>
      </c>
      <c r="AN10" s="7">
        <f t="shared" si="6"/>
        <v>0</v>
      </c>
      <c r="AO10" s="8">
        <f t="shared" si="7"/>
        <v>1</v>
      </c>
      <c r="AP10" s="11">
        <f t="shared" si="8"/>
        <v>0</v>
      </c>
      <c r="AQ10" s="22">
        <f t="shared" si="9"/>
        <v>1</v>
      </c>
    </row>
    <row r="11" spans="1:43">
      <c r="A11" s="49">
        <v>45041</v>
      </c>
      <c r="B11" s="30">
        <v>9</v>
      </c>
      <c r="C11" s="30" t="s">
        <v>55</v>
      </c>
      <c r="D11" s="30" t="s">
        <v>45</v>
      </c>
      <c r="E11" s="30">
        <v>0</v>
      </c>
      <c r="F11" s="30">
        <v>1</v>
      </c>
      <c r="G11" s="30" t="s">
        <v>252</v>
      </c>
      <c r="H11" s="30" t="s">
        <v>257</v>
      </c>
      <c r="I11" s="30" t="s">
        <v>254</v>
      </c>
      <c r="J11" s="40" t="s">
        <v>33</v>
      </c>
      <c r="K11" s="53"/>
      <c r="L11" s="15"/>
      <c r="M11" s="54"/>
      <c r="N11" s="141"/>
      <c r="O11" s="56"/>
      <c r="P11" s="54"/>
      <c r="S11" s="72" t="s">
        <v>307</v>
      </c>
      <c r="T11" s="81">
        <f t="shared" si="0"/>
        <v>0</v>
      </c>
      <c r="U11" s="81">
        <f t="shared" si="1"/>
        <v>0</v>
      </c>
      <c r="V11" s="51">
        <f t="shared" si="2"/>
        <v>0</v>
      </c>
      <c r="X11" s="2"/>
      <c r="Y11" s="2"/>
      <c r="Z11" s="2"/>
      <c r="AA11" s="5"/>
      <c r="AB11" s="5"/>
      <c r="AC11" s="5"/>
      <c r="AD11" s="8"/>
      <c r="AE11" s="9"/>
      <c r="AF11" s="22"/>
      <c r="AJ11" s="20" t="s">
        <v>308</v>
      </c>
      <c r="AK11" s="2">
        <f t="shared" si="3"/>
        <v>2</v>
      </c>
      <c r="AL11" s="5">
        <f t="shared" si="4"/>
        <v>0</v>
      </c>
      <c r="AM11" s="6">
        <f t="shared" si="5"/>
        <v>1</v>
      </c>
      <c r="AN11" s="7">
        <f t="shared" si="6"/>
        <v>1</v>
      </c>
      <c r="AO11" s="8">
        <f t="shared" si="7"/>
        <v>1</v>
      </c>
      <c r="AP11" s="11">
        <f t="shared" si="8"/>
        <v>0</v>
      </c>
      <c r="AQ11" s="22">
        <f t="shared" si="9"/>
        <v>0.5</v>
      </c>
    </row>
    <row r="12" spans="1:43">
      <c r="A12" s="49">
        <v>45046</v>
      </c>
      <c r="B12" s="30">
        <v>10</v>
      </c>
      <c r="C12" s="30" t="s">
        <v>57</v>
      </c>
      <c r="D12" s="30" t="s">
        <v>49</v>
      </c>
      <c r="E12" s="30">
        <v>2</v>
      </c>
      <c r="F12" s="30">
        <v>0</v>
      </c>
      <c r="G12" s="30" t="s">
        <v>252</v>
      </c>
      <c r="H12" s="30" t="s">
        <v>257</v>
      </c>
      <c r="I12" s="30" t="s">
        <v>263</v>
      </c>
      <c r="J12" s="40" t="s">
        <v>31</v>
      </c>
      <c r="K12" s="53" t="s">
        <v>93</v>
      </c>
      <c r="L12" s="15" t="s">
        <v>271</v>
      </c>
      <c r="M12" s="54"/>
      <c r="N12" s="141" t="s">
        <v>143</v>
      </c>
      <c r="O12" s="56" t="s">
        <v>70</v>
      </c>
      <c r="P12" s="54"/>
      <c r="S12" s="72" t="s">
        <v>54</v>
      </c>
      <c r="T12" s="81">
        <f t="shared" si="0"/>
        <v>1</v>
      </c>
      <c r="U12" s="81">
        <f t="shared" si="1"/>
        <v>0</v>
      </c>
      <c r="V12" s="51">
        <f t="shared" si="2"/>
        <v>1</v>
      </c>
      <c r="X12" s="4" t="s">
        <v>7</v>
      </c>
      <c r="Y12" s="4" t="s">
        <v>11</v>
      </c>
      <c r="Z12" s="4" t="s">
        <v>30</v>
      </c>
      <c r="AA12" s="4" t="s">
        <v>31</v>
      </c>
      <c r="AB12" s="4" t="s">
        <v>32</v>
      </c>
      <c r="AC12" s="4" t="s">
        <v>33</v>
      </c>
      <c r="AD12" s="4" t="s">
        <v>34</v>
      </c>
      <c r="AE12" s="4" t="s">
        <v>35</v>
      </c>
      <c r="AF12" s="4" t="s">
        <v>138</v>
      </c>
      <c r="AJ12" s="20" t="s">
        <v>262</v>
      </c>
      <c r="AK12" s="2">
        <f t="shared" si="3"/>
        <v>4</v>
      </c>
      <c r="AL12" s="5">
        <f t="shared" si="4"/>
        <v>2</v>
      </c>
      <c r="AM12" s="6">
        <f t="shared" si="5"/>
        <v>2</v>
      </c>
      <c r="AN12" s="7">
        <f t="shared" si="6"/>
        <v>0</v>
      </c>
      <c r="AO12" s="8">
        <f t="shared" si="7"/>
        <v>8</v>
      </c>
      <c r="AP12" s="11">
        <f t="shared" si="8"/>
        <v>0.5</v>
      </c>
      <c r="AQ12" s="22">
        <f t="shared" si="9"/>
        <v>2</v>
      </c>
    </row>
    <row r="13" spans="1:43">
      <c r="A13" s="49">
        <v>45051</v>
      </c>
      <c r="B13" s="30">
        <v>11</v>
      </c>
      <c r="C13" s="30" t="s">
        <v>142</v>
      </c>
      <c r="D13" s="30" t="s">
        <v>45</v>
      </c>
      <c r="E13" s="30">
        <v>0</v>
      </c>
      <c r="F13" s="30">
        <v>1</v>
      </c>
      <c r="G13" s="30" t="s">
        <v>247</v>
      </c>
      <c r="H13" s="30" t="s">
        <v>308</v>
      </c>
      <c r="I13" s="30" t="s">
        <v>249</v>
      </c>
      <c r="J13" s="40" t="s">
        <v>33</v>
      </c>
      <c r="K13" s="53"/>
      <c r="L13" s="15"/>
      <c r="M13" s="54"/>
      <c r="N13" s="141"/>
      <c r="O13" s="56"/>
      <c r="P13" s="54"/>
      <c r="S13" s="72" t="s">
        <v>269</v>
      </c>
      <c r="T13" s="81">
        <f t="shared" si="0"/>
        <v>0</v>
      </c>
      <c r="U13" s="81">
        <f t="shared" si="1"/>
        <v>0</v>
      </c>
      <c r="V13" s="51">
        <f t="shared" si="2"/>
        <v>0</v>
      </c>
      <c r="X13" s="2" t="s">
        <v>49</v>
      </c>
      <c r="Y13" s="2" t="s">
        <v>250</v>
      </c>
      <c r="Z13" s="2">
        <f>SUM(AA13:AC13)</f>
        <v>6</v>
      </c>
      <c r="AA13" s="5">
        <f>COUNTIFS(D:D,X13,G:G,Y13,J:J,AA$12)</f>
        <v>1</v>
      </c>
      <c r="AB13" s="5">
        <f>COUNTIFS(D:D,X13,G:G,Y13,J:J,AB$12)</f>
        <v>3</v>
      </c>
      <c r="AC13" s="5">
        <f>COUNTIFS(D:D,X13,G:G,Y13,J:J,AC$12)</f>
        <v>2</v>
      </c>
      <c r="AD13" s="8">
        <f>AA13*3+AB13</f>
        <v>6</v>
      </c>
      <c r="AE13" s="9">
        <f>AA13/Z13</f>
        <v>0.16666666666666666</v>
      </c>
      <c r="AF13" s="22">
        <f>AD13/Z13</f>
        <v>1</v>
      </c>
      <c r="AJ13" s="20" t="s">
        <v>309</v>
      </c>
      <c r="AK13" s="2">
        <f t="shared" si="3"/>
        <v>1</v>
      </c>
      <c r="AL13" s="5">
        <f t="shared" si="4"/>
        <v>0</v>
      </c>
      <c r="AM13" s="6">
        <f t="shared" si="5"/>
        <v>1</v>
      </c>
      <c r="AN13" s="7">
        <f t="shared" si="6"/>
        <v>0</v>
      </c>
      <c r="AO13" s="8">
        <f t="shared" si="7"/>
        <v>1</v>
      </c>
      <c r="AP13" s="11">
        <f t="shared" si="8"/>
        <v>0</v>
      </c>
      <c r="AQ13" s="22">
        <f t="shared" si="9"/>
        <v>1</v>
      </c>
    </row>
    <row r="14" spans="1:43">
      <c r="A14" s="50">
        <v>45056</v>
      </c>
      <c r="B14" s="24">
        <v>12</v>
      </c>
      <c r="C14" s="24" t="s">
        <v>77</v>
      </c>
      <c r="D14" s="24" t="s">
        <v>49</v>
      </c>
      <c r="E14" s="24">
        <v>0</v>
      </c>
      <c r="F14" s="24">
        <v>2</v>
      </c>
      <c r="G14" s="24" t="s">
        <v>259</v>
      </c>
      <c r="H14" s="24" t="s">
        <v>257</v>
      </c>
      <c r="I14" s="24" t="s">
        <v>254</v>
      </c>
      <c r="J14" s="41" t="s">
        <v>33</v>
      </c>
      <c r="K14" s="57"/>
      <c r="L14" s="58"/>
      <c r="M14" s="59"/>
      <c r="N14" s="142"/>
      <c r="O14" s="61"/>
      <c r="P14" s="59"/>
      <c r="S14" s="83" t="s">
        <v>261</v>
      </c>
      <c r="T14" s="81">
        <f t="shared" si="0"/>
        <v>0</v>
      </c>
      <c r="U14" s="81">
        <f t="shared" si="1"/>
        <v>1</v>
      </c>
      <c r="V14" s="51">
        <f t="shared" si="2"/>
        <v>1</v>
      </c>
      <c r="X14" s="2" t="s">
        <v>49</v>
      </c>
      <c r="Y14" s="2" t="s">
        <v>252</v>
      </c>
      <c r="Z14" s="2">
        <f>SUM(AA14:AC14)</f>
        <v>7</v>
      </c>
      <c r="AA14" s="5">
        <f>COUNTIFS(D:D,X14,G:G,Y14,J:J,AA$12)</f>
        <v>5</v>
      </c>
      <c r="AB14" s="5">
        <f>COUNTIFS(D:D,X14,G:G,Y14,J:J,AB$12)</f>
        <v>1</v>
      </c>
      <c r="AC14" s="5">
        <f>COUNTIFS(D:D,X14,G:G,Y14,J:J,AC$12)</f>
        <v>1</v>
      </c>
      <c r="AD14" s="8">
        <f>AA14*3+AB14</f>
        <v>16</v>
      </c>
      <c r="AE14" s="9">
        <f>AA14/Z14</f>
        <v>0.7142857142857143</v>
      </c>
      <c r="AF14" s="22">
        <f>AD14/Z14</f>
        <v>2.2857142857142856</v>
      </c>
      <c r="AJ14" s="4" t="s">
        <v>13</v>
      </c>
      <c r="AK14" s="4" t="s">
        <v>30</v>
      </c>
      <c r="AL14" s="4" t="s">
        <v>31</v>
      </c>
      <c r="AM14" s="4" t="s">
        <v>32</v>
      </c>
      <c r="AN14" s="4" t="s">
        <v>33</v>
      </c>
      <c r="AO14" s="4" t="s">
        <v>34</v>
      </c>
      <c r="AP14" s="4" t="s">
        <v>35</v>
      </c>
      <c r="AQ14" s="4" t="s">
        <v>138</v>
      </c>
    </row>
    <row r="15" spans="1:43">
      <c r="A15" s="50">
        <v>45060</v>
      </c>
      <c r="B15" s="24">
        <v>13</v>
      </c>
      <c r="C15" s="24" t="s">
        <v>67</v>
      </c>
      <c r="D15" s="24" t="s">
        <v>45</v>
      </c>
      <c r="E15" s="24">
        <v>0</v>
      </c>
      <c r="F15" s="24">
        <v>0</v>
      </c>
      <c r="G15" s="24" t="s">
        <v>247</v>
      </c>
      <c r="H15" s="24" t="s">
        <v>301</v>
      </c>
      <c r="I15" s="24" t="s">
        <v>249</v>
      </c>
      <c r="J15" s="41" t="s">
        <v>32</v>
      </c>
      <c r="K15" s="57"/>
      <c r="L15" s="58"/>
      <c r="M15" s="59"/>
      <c r="N15" s="142"/>
      <c r="O15" s="61"/>
      <c r="P15" s="59"/>
      <c r="S15" s="83" t="s">
        <v>264</v>
      </c>
      <c r="T15" s="81">
        <f t="shared" si="0"/>
        <v>0</v>
      </c>
      <c r="U15" s="81">
        <f t="shared" si="1"/>
        <v>0</v>
      </c>
      <c r="V15" s="51">
        <f t="shared" si="2"/>
        <v>0</v>
      </c>
      <c r="X15" s="2" t="s">
        <v>49</v>
      </c>
      <c r="Y15" s="2" t="s">
        <v>256</v>
      </c>
      <c r="Z15" s="2">
        <f>SUM(AA15:AC15)</f>
        <v>6</v>
      </c>
      <c r="AA15" s="5">
        <f>COUNTIFS(D:D,X15,G:G,Y15,J:J,AA$12)</f>
        <v>1</v>
      </c>
      <c r="AB15" s="5">
        <f>COUNTIFS(D:D,X15,G:G,Y15,J:J,AB$12)</f>
        <v>2</v>
      </c>
      <c r="AC15" s="5">
        <f>COUNTIFS(D:D,X15,G:G,Y15,J:J,AC$12)</f>
        <v>3</v>
      </c>
      <c r="AD15" s="8">
        <f>AA15*3+AB15</f>
        <v>5</v>
      </c>
      <c r="AE15" s="9">
        <f>AA15/Z15</f>
        <v>0.16666666666666666</v>
      </c>
      <c r="AF15" s="22">
        <f>AD15/Z15</f>
        <v>0.83333333333333337</v>
      </c>
      <c r="AJ15" s="2" t="s">
        <v>260</v>
      </c>
      <c r="AK15" s="2">
        <f t="shared" ref="AK15:AK23" si="10">SUM(AL15:AN15)</f>
        <v>5</v>
      </c>
      <c r="AL15" s="5">
        <f>COUNTIFS(I:I,AJ15,J:J,AL$14)</f>
        <v>2</v>
      </c>
      <c r="AM15" s="6">
        <f>COUNTIFS(I:I,AJ15,J:J,AM$14)</f>
        <v>1</v>
      </c>
      <c r="AN15" s="7">
        <f>COUNTIFS(I:I,AJ15,J:J,AN$14)</f>
        <v>2</v>
      </c>
      <c r="AO15" s="8">
        <f t="shared" ref="AO15:AO23" si="11">AL15*3+AM15</f>
        <v>7</v>
      </c>
      <c r="AP15" s="11">
        <f t="shared" ref="AP15:AP23" si="12">AL15/AK15</f>
        <v>0.4</v>
      </c>
      <c r="AQ15" s="22">
        <f t="shared" ref="AQ15:AQ23" si="13">AO15/AK15</f>
        <v>1.4</v>
      </c>
    </row>
    <row r="16" spans="1:43">
      <c r="A16" s="50">
        <v>45066</v>
      </c>
      <c r="B16" s="24">
        <v>14</v>
      </c>
      <c r="C16" s="24" t="s">
        <v>48</v>
      </c>
      <c r="D16" s="24" t="s">
        <v>45</v>
      </c>
      <c r="E16" s="24">
        <v>1</v>
      </c>
      <c r="F16" s="24">
        <v>1</v>
      </c>
      <c r="G16" s="24" t="s">
        <v>252</v>
      </c>
      <c r="H16" s="24" t="s">
        <v>257</v>
      </c>
      <c r="I16" s="24" t="s">
        <v>254</v>
      </c>
      <c r="J16" s="41" t="s">
        <v>32</v>
      </c>
      <c r="K16" s="57" t="s">
        <v>280</v>
      </c>
      <c r="L16" s="58"/>
      <c r="M16" s="59"/>
      <c r="N16" s="142"/>
      <c r="O16" s="61"/>
      <c r="P16" s="59"/>
      <c r="S16" s="70" t="s">
        <v>73</v>
      </c>
      <c r="T16" s="81">
        <f t="shared" si="0"/>
        <v>2</v>
      </c>
      <c r="U16" s="81">
        <f t="shared" si="1"/>
        <v>1</v>
      </c>
      <c r="V16" s="51">
        <f t="shared" si="2"/>
        <v>3</v>
      </c>
      <c r="X16" s="89"/>
      <c r="Y16" s="89"/>
      <c r="Z16" s="89"/>
      <c r="AA16" s="89"/>
      <c r="AB16" s="89"/>
      <c r="AC16" s="89"/>
      <c r="AD16" s="89"/>
      <c r="AE16" s="89"/>
      <c r="AF16" s="89"/>
      <c r="AJ16" s="2" t="s">
        <v>263</v>
      </c>
      <c r="AK16" s="2">
        <f t="shared" si="10"/>
        <v>7</v>
      </c>
      <c r="AL16" s="5">
        <f>COUNTIFS(I:I,AJ16,J:J,AL$14)</f>
        <v>4</v>
      </c>
      <c r="AM16" s="6">
        <f>COUNTIFS(I:I,AJ16,J:J,AM$14)</f>
        <v>2</v>
      </c>
      <c r="AN16" s="7">
        <f>COUNTIFS(I:I,AJ16,J:J,AN$14)</f>
        <v>1</v>
      </c>
      <c r="AO16" s="8">
        <f t="shared" si="11"/>
        <v>14</v>
      </c>
      <c r="AP16" s="11">
        <f t="shared" si="12"/>
        <v>0.5714285714285714</v>
      </c>
      <c r="AQ16" s="22">
        <f t="shared" si="13"/>
        <v>2</v>
      </c>
    </row>
    <row r="17" spans="1:43">
      <c r="A17" s="50">
        <v>45073</v>
      </c>
      <c r="B17" s="24">
        <v>15</v>
      </c>
      <c r="C17" s="24" t="s">
        <v>265</v>
      </c>
      <c r="D17" s="24" t="s">
        <v>49</v>
      </c>
      <c r="E17" s="24">
        <v>2</v>
      </c>
      <c r="F17" s="24">
        <v>2</v>
      </c>
      <c r="G17" s="24" t="s">
        <v>247</v>
      </c>
      <c r="H17" s="24" t="s">
        <v>301</v>
      </c>
      <c r="I17" s="24" t="s">
        <v>249</v>
      </c>
      <c r="J17" s="41" t="s">
        <v>32</v>
      </c>
      <c r="K17" s="57" t="s">
        <v>171</v>
      </c>
      <c r="L17" s="58" t="s">
        <v>111</v>
      </c>
      <c r="M17" s="59"/>
      <c r="N17" s="142" t="s">
        <v>143</v>
      </c>
      <c r="O17" s="61" t="s">
        <v>170</v>
      </c>
      <c r="P17" s="59"/>
      <c r="S17" s="70" t="s">
        <v>170</v>
      </c>
      <c r="T17" s="81">
        <f t="shared" si="0"/>
        <v>1</v>
      </c>
      <c r="U17" s="81">
        <f t="shared" si="1"/>
        <v>3</v>
      </c>
      <c r="V17" s="51">
        <f t="shared" si="2"/>
        <v>4</v>
      </c>
      <c r="X17" s="1"/>
      <c r="Y17" s="1"/>
      <c r="Z17" s="1"/>
      <c r="AA17" s="85"/>
      <c r="AB17" s="85"/>
      <c r="AC17" s="85"/>
      <c r="AD17" s="1"/>
      <c r="AE17" s="86"/>
      <c r="AF17" s="87"/>
      <c r="AJ17" s="2" t="s">
        <v>270</v>
      </c>
      <c r="AK17" s="2">
        <f t="shared" si="10"/>
        <v>4</v>
      </c>
      <c r="AL17" s="5">
        <f>COUNTIFS(I:I,AJ17,J:J,AL14)</f>
        <v>3</v>
      </c>
      <c r="AM17" s="6">
        <f>COUNTIFS(I:I,AJ17,J:J,AM14)</f>
        <v>0</v>
      </c>
      <c r="AN17" s="7">
        <f>COUNTIFS(I:I,AJ17,J:J,AN14)</f>
        <v>1</v>
      </c>
      <c r="AO17" s="8">
        <f t="shared" si="11"/>
        <v>9</v>
      </c>
      <c r="AP17" s="11">
        <f t="shared" si="12"/>
        <v>0.75</v>
      </c>
      <c r="AQ17" s="22">
        <f t="shared" si="13"/>
        <v>2.25</v>
      </c>
    </row>
    <row r="18" spans="1:43">
      <c r="A18" s="50">
        <v>45081</v>
      </c>
      <c r="B18" s="24">
        <v>16</v>
      </c>
      <c r="C18" s="24" t="s">
        <v>61</v>
      </c>
      <c r="D18" s="24" t="s">
        <v>49</v>
      </c>
      <c r="E18" s="24">
        <v>3</v>
      </c>
      <c r="F18" s="24">
        <v>1</v>
      </c>
      <c r="G18" s="24" t="s">
        <v>252</v>
      </c>
      <c r="H18" s="24" t="s">
        <v>257</v>
      </c>
      <c r="I18" s="24" t="s">
        <v>270</v>
      </c>
      <c r="J18" s="41" t="s">
        <v>31</v>
      </c>
      <c r="K18" s="57" t="s">
        <v>272</v>
      </c>
      <c r="L18" s="58" t="s">
        <v>143</v>
      </c>
      <c r="M18" s="59" t="s">
        <v>143</v>
      </c>
      <c r="N18" s="142"/>
      <c r="O18" s="61" t="s">
        <v>272</v>
      </c>
      <c r="P18" s="59" t="s">
        <v>272</v>
      </c>
      <c r="S18" s="70" t="s">
        <v>93</v>
      </c>
      <c r="T18" s="81">
        <f t="shared" si="0"/>
        <v>2</v>
      </c>
      <c r="U18" s="81">
        <f t="shared" si="1"/>
        <v>0</v>
      </c>
      <c r="V18" s="51">
        <f t="shared" si="2"/>
        <v>2</v>
      </c>
      <c r="X18" s="1"/>
      <c r="Y18" s="1"/>
      <c r="Z18" s="1"/>
      <c r="AA18" s="85"/>
      <c r="AB18" s="85"/>
      <c r="AC18" s="85"/>
      <c r="AD18" s="1"/>
      <c r="AE18" s="86"/>
      <c r="AF18" s="87"/>
      <c r="AJ18" s="2" t="s">
        <v>254</v>
      </c>
      <c r="AK18" s="2">
        <f t="shared" si="10"/>
        <v>6</v>
      </c>
      <c r="AL18" s="5">
        <f>COUNTIFS(I:I,AJ18,J:J,AL14)</f>
        <v>2</v>
      </c>
      <c r="AM18" s="6">
        <f>COUNTIFS(I:I,AJ18,J:J,AM14)</f>
        <v>2</v>
      </c>
      <c r="AN18" s="7">
        <f>COUNTIFS(I:I,AJ18,J:J,AN14)</f>
        <v>2</v>
      </c>
      <c r="AO18" s="8">
        <f t="shared" si="11"/>
        <v>8</v>
      </c>
      <c r="AP18" s="11">
        <f t="shared" si="12"/>
        <v>0.33333333333333331</v>
      </c>
      <c r="AQ18" s="22">
        <f t="shared" si="13"/>
        <v>1.3333333333333333</v>
      </c>
    </row>
    <row r="19" spans="1:43">
      <c r="A19" s="50">
        <v>45084</v>
      </c>
      <c r="B19" s="24">
        <v>17</v>
      </c>
      <c r="C19" s="24" t="s">
        <v>44</v>
      </c>
      <c r="D19" s="24" t="s">
        <v>45</v>
      </c>
      <c r="E19" s="24">
        <v>1</v>
      </c>
      <c r="F19" s="24">
        <v>1</v>
      </c>
      <c r="G19" s="24" t="s">
        <v>247</v>
      </c>
      <c r="H19" s="24" t="s">
        <v>308</v>
      </c>
      <c r="I19" s="24" t="s">
        <v>249</v>
      </c>
      <c r="J19" s="41" t="s">
        <v>32</v>
      </c>
      <c r="K19" s="57" t="s">
        <v>70</v>
      </c>
      <c r="L19" s="58"/>
      <c r="M19" s="59"/>
      <c r="N19" s="142" t="s">
        <v>143</v>
      </c>
      <c r="O19" s="61"/>
      <c r="P19" s="59"/>
      <c r="S19" s="70" t="s">
        <v>171</v>
      </c>
      <c r="T19" s="81">
        <f t="shared" si="0"/>
        <v>1</v>
      </c>
      <c r="U19" s="81">
        <f t="shared" si="1"/>
        <v>3</v>
      </c>
      <c r="V19" s="51">
        <f t="shared" si="2"/>
        <v>4</v>
      </c>
      <c r="X19" s="1"/>
      <c r="Y19" s="1"/>
      <c r="Z19" s="1"/>
      <c r="AA19" s="85"/>
      <c r="AB19" s="85"/>
      <c r="AC19" s="85"/>
      <c r="AD19" s="1"/>
      <c r="AE19" s="86"/>
      <c r="AF19" s="87"/>
      <c r="AJ19" s="20" t="s">
        <v>249</v>
      </c>
      <c r="AK19" s="20">
        <f t="shared" si="10"/>
        <v>12</v>
      </c>
      <c r="AL19" s="5">
        <f>COUNTIFS(I:I,AJ19,J:J,$AL$14)</f>
        <v>2</v>
      </c>
      <c r="AM19" s="6">
        <f>COUNTIFS(I:I,AJ19,J:J,$AM$14)</f>
        <v>6</v>
      </c>
      <c r="AN19" s="7">
        <f>COUNTIFS(I:I,AJ19,J:J,AN$14)</f>
        <v>4</v>
      </c>
      <c r="AO19" s="26">
        <f t="shared" si="11"/>
        <v>12</v>
      </c>
      <c r="AP19" s="11">
        <f t="shared" si="12"/>
        <v>0.16666666666666666</v>
      </c>
      <c r="AQ19" s="25">
        <f t="shared" si="13"/>
        <v>1</v>
      </c>
    </row>
    <row r="20" spans="1:43">
      <c r="A20" s="50">
        <v>45088</v>
      </c>
      <c r="B20" s="24">
        <v>18</v>
      </c>
      <c r="C20" s="24" t="s">
        <v>142</v>
      </c>
      <c r="D20" s="24" t="s">
        <v>49</v>
      </c>
      <c r="E20" s="24">
        <v>0</v>
      </c>
      <c r="F20" s="24">
        <v>0</v>
      </c>
      <c r="G20" s="24" t="s">
        <v>247</v>
      </c>
      <c r="H20" s="24" t="s">
        <v>248</v>
      </c>
      <c r="I20" s="24" t="s">
        <v>249</v>
      </c>
      <c r="J20" s="41" t="s">
        <v>32</v>
      </c>
      <c r="K20" s="57"/>
      <c r="L20" s="58"/>
      <c r="M20" s="59"/>
      <c r="N20" s="142"/>
      <c r="O20" s="61"/>
      <c r="P20" s="59"/>
      <c r="S20" s="70" t="s">
        <v>313</v>
      </c>
      <c r="T20" s="81">
        <f t="shared" si="0"/>
        <v>0</v>
      </c>
      <c r="U20" s="81">
        <f t="shared" si="1"/>
        <v>0</v>
      </c>
      <c r="V20" s="51">
        <f t="shared" si="2"/>
        <v>0</v>
      </c>
      <c r="X20" s="1"/>
      <c r="Y20" s="1"/>
      <c r="Z20" s="1"/>
      <c r="AA20" s="85"/>
      <c r="AB20" s="85"/>
      <c r="AC20" s="85"/>
      <c r="AD20" s="1"/>
      <c r="AE20" s="86"/>
      <c r="AF20" s="87"/>
      <c r="AJ20" s="20" t="s">
        <v>305</v>
      </c>
      <c r="AK20" s="20">
        <f t="shared" si="10"/>
        <v>1</v>
      </c>
      <c r="AL20" s="5">
        <f>COUNTIFS(I:I,AJ20,J:J,$AL$14)</f>
        <v>0</v>
      </c>
      <c r="AM20" s="6">
        <f>COUNTIFS(I:I,AJ20,J:J,$AM$14)</f>
        <v>1</v>
      </c>
      <c r="AN20" s="7">
        <f>COUNTIFS(I:I,AJ20,J:J,AN$14)</f>
        <v>0</v>
      </c>
      <c r="AO20" s="26">
        <f t="shared" si="11"/>
        <v>1</v>
      </c>
      <c r="AP20" s="11">
        <f t="shared" si="12"/>
        <v>0</v>
      </c>
      <c r="AQ20" s="25">
        <f t="shared" si="13"/>
        <v>1</v>
      </c>
    </row>
    <row r="21" spans="1:43">
      <c r="A21" s="50">
        <v>45102</v>
      </c>
      <c r="B21" s="24">
        <v>19</v>
      </c>
      <c r="C21" s="24" t="s">
        <v>57</v>
      </c>
      <c r="D21" s="24" t="s">
        <v>45</v>
      </c>
      <c r="E21" s="24">
        <v>0</v>
      </c>
      <c r="F21" s="24">
        <v>1</v>
      </c>
      <c r="G21" s="24" t="s">
        <v>252</v>
      </c>
      <c r="H21" s="24" t="s">
        <v>257</v>
      </c>
      <c r="I21" s="24" t="s">
        <v>263</v>
      </c>
      <c r="J21" s="41" t="s">
        <v>33</v>
      </c>
      <c r="K21" s="57"/>
      <c r="L21" s="58"/>
      <c r="M21" s="59"/>
      <c r="N21" s="142"/>
      <c r="O21" s="61"/>
      <c r="P21" s="59"/>
      <c r="S21" s="70" t="s">
        <v>172</v>
      </c>
      <c r="T21" s="81">
        <f t="shared" si="0"/>
        <v>0</v>
      </c>
      <c r="U21" s="81">
        <f t="shared" si="1"/>
        <v>0</v>
      </c>
      <c r="V21" s="51">
        <f t="shared" si="2"/>
        <v>0</v>
      </c>
      <c r="X21" s="1"/>
      <c r="Y21" s="88"/>
      <c r="Z21" s="1"/>
      <c r="AA21" s="85"/>
      <c r="AB21" s="85"/>
      <c r="AC21" s="85"/>
      <c r="AD21" s="1"/>
      <c r="AE21" s="86"/>
      <c r="AF21" s="87"/>
      <c r="AJ21" s="20" t="s">
        <v>315</v>
      </c>
      <c r="AK21" s="20">
        <f t="shared" si="10"/>
        <v>1</v>
      </c>
      <c r="AL21" s="5">
        <f>COUNTIFS(I:I,AJ21,J:J,$AL$14)</f>
        <v>0</v>
      </c>
      <c r="AM21" s="6">
        <f>COUNTIFS(I:I,AJ21,J:J,$AM$14)</f>
        <v>1</v>
      </c>
      <c r="AN21" s="7">
        <f>COUNTIFS(I:I,AJ21,J:J,AN$14)</f>
        <v>0</v>
      </c>
      <c r="AO21" s="26">
        <f t="shared" si="11"/>
        <v>1</v>
      </c>
      <c r="AP21" s="11">
        <f t="shared" si="12"/>
        <v>0</v>
      </c>
      <c r="AQ21" s="25">
        <f t="shared" si="13"/>
        <v>1</v>
      </c>
    </row>
    <row r="22" spans="1:43">
      <c r="A22" s="50">
        <v>45109</v>
      </c>
      <c r="B22" s="24">
        <v>20</v>
      </c>
      <c r="C22" s="24" t="s">
        <v>71</v>
      </c>
      <c r="D22" s="24" t="s">
        <v>45</v>
      </c>
      <c r="E22" s="24">
        <v>1</v>
      </c>
      <c r="F22" s="24">
        <v>0</v>
      </c>
      <c r="G22" s="24" t="s">
        <v>252</v>
      </c>
      <c r="H22" s="24" t="s">
        <v>253</v>
      </c>
      <c r="I22" s="24" t="s">
        <v>263</v>
      </c>
      <c r="J22" s="41" t="s">
        <v>31</v>
      </c>
      <c r="K22" s="57" t="s">
        <v>156</v>
      </c>
      <c r="L22" s="58"/>
      <c r="M22" s="59"/>
      <c r="N22" s="142" t="s">
        <v>170</v>
      </c>
      <c r="O22" s="61"/>
      <c r="P22" s="59"/>
      <c r="S22" s="70" t="s">
        <v>182</v>
      </c>
      <c r="T22" s="81">
        <f t="shared" si="0"/>
        <v>0</v>
      </c>
      <c r="U22" s="81">
        <f t="shared" si="1"/>
        <v>0</v>
      </c>
      <c r="V22" s="51">
        <f t="shared" si="2"/>
        <v>0</v>
      </c>
      <c r="AJ22" s="20" t="s">
        <v>273</v>
      </c>
      <c r="AK22" s="20">
        <f t="shared" si="10"/>
        <v>1</v>
      </c>
      <c r="AL22" s="5">
        <f>COUNTIFS(I:I,AJ22,J:J,$AL$14)</f>
        <v>0</v>
      </c>
      <c r="AM22" s="6">
        <f>COUNTIFS(I:I,AJ22,J:J,$AM$14)</f>
        <v>1</v>
      </c>
      <c r="AN22" s="7">
        <f>COUNTIFS(I:I,AJ22,J:J,AN$14)</f>
        <v>0</v>
      </c>
      <c r="AO22" s="26">
        <f t="shared" si="11"/>
        <v>1</v>
      </c>
      <c r="AP22" s="11">
        <f t="shared" si="12"/>
        <v>0</v>
      </c>
      <c r="AQ22" s="25">
        <f t="shared" si="13"/>
        <v>1</v>
      </c>
    </row>
    <row r="23" spans="1:43">
      <c r="A23" s="50">
        <v>45115</v>
      </c>
      <c r="B23" s="24">
        <v>21</v>
      </c>
      <c r="C23" s="24" t="s">
        <v>246</v>
      </c>
      <c r="D23" s="24" t="s">
        <v>49</v>
      </c>
      <c r="E23" s="24">
        <v>2</v>
      </c>
      <c r="F23" s="24">
        <v>2</v>
      </c>
      <c r="G23" s="24" t="s">
        <v>259</v>
      </c>
      <c r="H23" s="24" t="s">
        <v>306</v>
      </c>
      <c r="I23" s="24" t="s">
        <v>260</v>
      </c>
      <c r="J23" s="41" t="s">
        <v>32</v>
      </c>
      <c r="K23" s="57" t="s">
        <v>271</v>
      </c>
      <c r="L23" s="58" t="s">
        <v>314</v>
      </c>
      <c r="M23" s="59"/>
      <c r="N23" s="142" t="s">
        <v>281</v>
      </c>
      <c r="O23" s="61"/>
      <c r="P23" s="59"/>
      <c r="S23" s="70" t="s">
        <v>183</v>
      </c>
      <c r="T23" s="81">
        <f t="shared" si="0"/>
        <v>0</v>
      </c>
      <c r="U23" s="81">
        <f t="shared" si="1"/>
        <v>0</v>
      </c>
      <c r="V23" s="51">
        <f t="shared" si="2"/>
        <v>0</v>
      </c>
      <c r="AJ23" s="20" t="s">
        <v>316</v>
      </c>
      <c r="AK23" s="20">
        <f t="shared" si="10"/>
        <v>1</v>
      </c>
      <c r="AL23" s="5">
        <f>COUNTIFS(I:I,AJ23,J:J,$AL$14)</f>
        <v>1</v>
      </c>
      <c r="AM23" s="6">
        <f>COUNTIFS(I:I,AJ23,J:J,$AM$14)</f>
        <v>0</v>
      </c>
      <c r="AN23" s="7">
        <f>COUNTIFS(I:I,AJ23,J:J,AN$14)</f>
        <v>0</v>
      </c>
      <c r="AO23" s="26">
        <f t="shared" si="11"/>
        <v>3</v>
      </c>
      <c r="AP23" s="11">
        <f t="shared" si="12"/>
        <v>1</v>
      </c>
      <c r="AQ23" s="25">
        <f t="shared" si="13"/>
        <v>3</v>
      </c>
    </row>
    <row r="24" spans="1:43">
      <c r="A24" s="50">
        <v>45119</v>
      </c>
      <c r="B24" s="24">
        <v>22</v>
      </c>
      <c r="C24" s="24" t="s">
        <v>55</v>
      </c>
      <c r="D24" s="24" t="s">
        <v>49</v>
      </c>
      <c r="E24" s="24">
        <v>2</v>
      </c>
      <c r="F24" s="24">
        <v>1</v>
      </c>
      <c r="G24" s="24" t="s">
        <v>252</v>
      </c>
      <c r="H24" s="24" t="s">
        <v>302</v>
      </c>
      <c r="I24" s="24" t="s">
        <v>254</v>
      </c>
      <c r="J24" s="41" t="s">
        <v>31</v>
      </c>
      <c r="K24" s="57" t="s">
        <v>143</v>
      </c>
      <c r="L24" s="58" t="s">
        <v>300</v>
      </c>
      <c r="M24" s="59"/>
      <c r="N24" s="142" t="s">
        <v>300</v>
      </c>
      <c r="O24" s="61" t="s">
        <v>70</v>
      </c>
      <c r="P24" s="59"/>
      <c r="S24" s="70" t="s">
        <v>281</v>
      </c>
      <c r="T24" s="81">
        <f t="shared" si="0"/>
        <v>1</v>
      </c>
      <c r="U24" s="81">
        <f t="shared" si="1"/>
        <v>2</v>
      </c>
      <c r="V24" s="51">
        <f t="shared" si="2"/>
        <v>3</v>
      </c>
    </row>
    <row r="25" spans="1:43">
      <c r="A25" s="49">
        <v>45123</v>
      </c>
      <c r="B25" s="30">
        <v>23</v>
      </c>
      <c r="C25" s="30" t="s">
        <v>61</v>
      </c>
      <c r="D25" s="30" t="s">
        <v>45</v>
      </c>
      <c r="E25" s="30">
        <v>2</v>
      </c>
      <c r="F25" s="30">
        <v>0</v>
      </c>
      <c r="G25" s="30" t="s">
        <v>259</v>
      </c>
      <c r="H25" s="30" t="s">
        <v>302</v>
      </c>
      <c r="I25" s="30" t="s">
        <v>254</v>
      </c>
      <c r="J25" s="40" t="s">
        <v>31</v>
      </c>
      <c r="K25" s="53" t="s">
        <v>70</v>
      </c>
      <c r="L25" s="15" t="s">
        <v>300</v>
      </c>
      <c r="M25" s="54"/>
      <c r="N25" s="141" t="s">
        <v>300</v>
      </c>
      <c r="O25" s="56" t="s">
        <v>70</v>
      </c>
      <c r="P25" s="54"/>
      <c r="S25" s="70" t="s">
        <v>279</v>
      </c>
      <c r="T25" s="81">
        <f t="shared" si="0"/>
        <v>0</v>
      </c>
      <c r="U25" s="81">
        <f t="shared" si="1"/>
        <v>1</v>
      </c>
      <c r="V25" s="51">
        <f t="shared" si="2"/>
        <v>1</v>
      </c>
      <c r="Y25" s="4" t="s">
        <v>7</v>
      </c>
      <c r="Z25" s="4" t="s">
        <v>30</v>
      </c>
      <c r="AA25" s="4" t="s">
        <v>31</v>
      </c>
      <c r="AB25" s="4" t="s">
        <v>32</v>
      </c>
      <c r="AC25" s="4" t="s">
        <v>33</v>
      </c>
      <c r="AD25" s="4" t="s">
        <v>34</v>
      </c>
      <c r="AE25" s="4" t="s">
        <v>35</v>
      </c>
      <c r="AF25" s="4" t="s">
        <v>8</v>
      </c>
      <c r="AG25" s="4" t="s">
        <v>9</v>
      </c>
      <c r="AH25" s="4" t="s">
        <v>36</v>
      </c>
      <c r="AI25" s="4" t="s">
        <v>37</v>
      </c>
      <c r="AJ25" s="4" t="s">
        <v>38</v>
      </c>
      <c r="AK25" s="4" t="s">
        <v>39</v>
      </c>
    </row>
    <row r="26" spans="1:43">
      <c r="A26" s="49">
        <v>45129</v>
      </c>
      <c r="B26" s="30">
        <v>24</v>
      </c>
      <c r="C26" s="30" t="s">
        <v>44</v>
      </c>
      <c r="D26" s="30" t="s">
        <v>49</v>
      </c>
      <c r="E26" s="30">
        <v>1</v>
      </c>
      <c r="F26" s="30">
        <v>0</v>
      </c>
      <c r="G26" s="30" t="s">
        <v>252</v>
      </c>
      <c r="H26" s="30" t="s">
        <v>257</v>
      </c>
      <c r="I26" s="30" t="s">
        <v>270</v>
      </c>
      <c r="J26" s="40" t="s">
        <v>31</v>
      </c>
      <c r="K26" s="53" t="s">
        <v>272</v>
      </c>
      <c r="L26" s="15"/>
      <c r="M26" s="54"/>
      <c r="N26" s="141" t="s">
        <v>70</v>
      </c>
      <c r="O26" s="56"/>
      <c r="P26" s="54"/>
      <c r="S26" s="70" t="s">
        <v>112</v>
      </c>
      <c r="T26" s="81">
        <f t="shared" si="0"/>
        <v>0</v>
      </c>
      <c r="U26" s="81">
        <f t="shared" si="1"/>
        <v>1</v>
      </c>
      <c r="V26" s="51">
        <f t="shared" si="2"/>
        <v>1</v>
      </c>
      <c r="Y26" s="2" t="s">
        <v>45</v>
      </c>
      <c r="Z26" s="2">
        <f>SUM(AA26:AC26)</f>
        <v>19</v>
      </c>
      <c r="AA26" s="5">
        <f>COUNTIFS(D:D,Y26,J:J,AA25)</f>
        <v>7</v>
      </c>
      <c r="AB26" s="6">
        <f>COUNTIFS(D:D,Y26,J:J,AB25)</f>
        <v>8</v>
      </c>
      <c r="AC26" s="7">
        <f>COUNTIFS(D:D,Y26,J:J,AC25)</f>
        <v>4</v>
      </c>
      <c r="AD26" s="26">
        <f>AA26*3+AB26</f>
        <v>29</v>
      </c>
      <c r="AE26" s="10">
        <f>AA26/Z26</f>
        <v>0.36842105263157893</v>
      </c>
      <c r="AF26" s="2">
        <f>SUMIF(D:D,Y26,E:E)</f>
        <v>24</v>
      </c>
      <c r="AG26" s="2">
        <f>SUMIF(D:D,Y26,F:F)</f>
        <v>18</v>
      </c>
      <c r="AH26" s="2">
        <f>AF26-AG26</f>
        <v>6</v>
      </c>
      <c r="AI26" s="22">
        <f>AD26/Z26</f>
        <v>1.5263157894736843</v>
      </c>
      <c r="AJ26" s="22">
        <f>AF26/Z26</f>
        <v>1.263157894736842</v>
      </c>
      <c r="AK26" s="22">
        <f>AG26/Z26</f>
        <v>0.94736842105263153</v>
      </c>
    </row>
    <row r="27" spans="1:43">
      <c r="A27" s="49">
        <v>45144</v>
      </c>
      <c r="B27" s="30">
        <v>25</v>
      </c>
      <c r="C27" s="30" t="s">
        <v>67</v>
      </c>
      <c r="D27" s="30" t="s">
        <v>49</v>
      </c>
      <c r="E27" s="30">
        <v>0</v>
      </c>
      <c r="F27" s="30">
        <v>2</v>
      </c>
      <c r="G27" s="30" t="s">
        <v>247</v>
      </c>
      <c r="H27" s="30" t="s">
        <v>301</v>
      </c>
      <c r="I27" s="30" t="s">
        <v>249</v>
      </c>
      <c r="J27" s="40" t="s">
        <v>33</v>
      </c>
      <c r="K27" s="53"/>
      <c r="L27" s="15"/>
      <c r="M27" s="54"/>
      <c r="N27" s="141"/>
      <c r="O27" s="56"/>
      <c r="P27" s="54"/>
      <c r="S27" s="70" t="s">
        <v>268</v>
      </c>
      <c r="T27" s="81">
        <f t="shared" si="0"/>
        <v>1</v>
      </c>
      <c r="U27" s="81">
        <f t="shared" si="1"/>
        <v>1</v>
      </c>
      <c r="V27" s="51">
        <f t="shared" si="2"/>
        <v>2</v>
      </c>
      <c r="Y27" s="2" t="s">
        <v>49</v>
      </c>
      <c r="Z27" s="2">
        <f>SUM(AA27:AC27)</f>
        <v>19</v>
      </c>
      <c r="AA27" s="5">
        <f>COUNTIFS(D:D,Y27,J:J,AA25)</f>
        <v>7</v>
      </c>
      <c r="AB27" s="6">
        <f>COUNTIFS(D:D,Y27,J:J,AB25)</f>
        <v>6</v>
      </c>
      <c r="AC27" s="7">
        <f>COUNTIFS(D:D,Y27,J:J,AC25)</f>
        <v>6</v>
      </c>
      <c r="AD27" s="26">
        <f>AA27*3+AB27</f>
        <v>27</v>
      </c>
      <c r="AE27" s="23">
        <f>AA27/Z27</f>
        <v>0.36842105263157893</v>
      </c>
      <c r="AF27" s="2">
        <f>SUMIF(D:D,Y27,E:E)</f>
        <v>22</v>
      </c>
      <c r="AG27" s="2">
        <f>SUMIF(D:D,Y27,F:F)</f>
        <v>24</v>
      </c>
      <c r="AH27" s="2">
        <f>AF27-AG27</f>
        <v>-2</v>
      </c>
      <c r="AI27" s="22">
        <f>AD27/Z27</f>
        <v>1.4210526315789473</v>
      </c>
      <c r="AJ27" s="22">
        <f>AF27/Z27</f>
        <v>1.1578947368421053</v>
      </c>
      <c r="AK27" s="22">
        <f>AG27/Z27</f>
        <v>1.263157894736842</v>
      </c>
    </row>
    <row r="28" spans="1:43">
      <c r="A28" s="49">
        <v>45151</v>
      </c>
      <c r="B28" s="30">
        <v>26</v>
      </c>
      <c r="C28" s="30" t="s">
        <v>265</v>
      </c>
      <c r="D28" s="30" t="s">
        <v>45</v>
      </c>
      <c r="E28" s="30">
        <v>3</v>
      </c>
      <c r="F28" s="30">
        <v>1</v>
      </c>
      <c r="G28" s="30" t="s">
        <v>259</v>
      </c>
      <c r="H28" s="30" t="s">
        <v>251</v>
      </c>
      <c r="I28" s="30" t="s">
        <v>260</v>
      </c>
      <c r="J28" s="40" t="s">
        <v>31</v>
      </c>
      <c r="K28" s="53" t="s">
        <v>46</v>
      </c>
      <c r="L28" s="15" t="s">
        <v>93</v>
      </c>
      <c r="M28" s="54" t="s">
        <v>70</v>
      </c>
      <c r="N28" s="141" t="s">
        <v>70</v>
      </c>
      <c r="O28" s="56" t="s">
        <v>73</v>
      </c>
      <c r="P28" s="54" t="s">
        <v>46</v>
      </c>
      <c r="S28" s="70" t="s">
        <v>220</v>
      </c>
      <c r="T28" s="81">
        <f t="shared" si="0"/>
        <v>0</v>
      </c>
      <c r="U28" s="81">
        <f t="shared" si="1"/>
        <v>0</v>
      </c>
      <c r="V28" s="51">
        <f t="shared" si="2"/>
        <v>0</v>
      </c>
      <c r="Y28" s="13" t="s">
        <v>60</v>
      </c>
      <c r="Z28" s="13">
        <f>SUM(Z26:Z27)</f>
        <v>38</v>
      </c>
      <c r="AA28" s="13">
        <f>SUM(AA26:AA27)</f>
        <v>14</v>
      </c>
      <c r="AB28" s="13">
        <f>SUM(AB26:AB27)</f>
        <v>14</v>
      </c>
      <c r="AC28" s="13">
        <f>SUM(AC26:AC27)</f>
        <v>10</v>
      </c>
      <c r="AD28" s="13">
        <f>SUM(AD26:AD27)</f>
        <v>56</v>
      </c>
      <c r="AE28" s="14">
        <f>AA28/Z28</f>
        <v>0.36842105263157893</v>
      </c>
      <c r="AF28" s="13">
        <f>SUM(AF26:AF27)</f>
        <v>46</v>
      </c>
      <c r="AG28" s="13">
        <f>SUM(AG26:AG27)</f>
        <v>42</v>
      </c>
      <c r="AH28" s="13">
        <f>SUM(AH26:AH27)</f>
        <v>4</v>
      </c>
      <c r="AI28" s="32">
        <f>AD28/Z28</f>
        <v>1.4736842105263157</v>
      </c>
      <c r="AJ28" s="32">
        <f>AF28/Z28</f>
        <v>1.2105263157894737</v>
      </c>
      <c r="AK28" s="32">
        <f>AG28/Z28</f>
        <v>1.1052631578947369</v>
      </c>
    </row>
    <row r="29" spans="1:43">
      <c r="A29" s="49">
        <v>45156</v>
      </c>
      <c r="B29" s="30">
        <v>27</v>
      </c>
      <c r="C29" s="30" t="s">
        <v>48</v>
      </c>
      <c r="D29" s="30" t="s">
        <v>45</v>
      </c>
      <c r="E29" s="30">
        <v>2</v>
      </c>
      <c r="F29" s="30">
        <v>2</v>
      </c>
      <c r="G29" s="30" t="s">
        <v>247</v>
      </c>
      <c r="H29" s="30" t="s">
        <v>255</v>
      </c>
      <c r="I29" s="30" t="s">
        <v>315</v>
      </c>
      <c r="J29" s="40" t="s">
        <v>32</v>
      </c>
      <c r="K29" s="53" t="s">
        <v>70</v>
      </c>
      <c r="L29" s="15" t="s">
        <v>70</v>
      </c>
      <c r="M29" s="54"/>
      <c r="N29" s="141" t="s">
        <v>108</v>
      </c>
      <c r="O29" s="56"/>
      <c r="P29" s="54"/>
      <c r="S29" s="84" t="s">
        <v>318</v>
      </c>
      <c r="T29" s="81">
        <f t="shared" si="0"/>
        <v>0</v>
      </c>
      <c r="U29" s="81">
        <f t="shared" si="1"/>
        <v>0</v>
      </c>
      <c r="V29" s="51">
        <f t="shared" si="2"/>
        <v>0</v>
      </c>
      <c r="Y29" s="4" t="s">
        <v>66</v>
      </c>
      <c r="Z29" s="4" t="s">
        <v>30</v>
      </c>
      <c r="AA29" s="4" t="s">
        <v>31</v>
      </c>
      <c r="AB29" s="4" t="s">
        <v>32</v>
      </c>
      <c r="AC29" s="4" t="s">
        <v>33</v>
      </c>
      <c r="AD29" s="4" t="s">
        <v>34</v>
      </c>
      <c r="AE29" s="4" t="s">
        <v>35</v>
      </c>
      <c r="AF29" s="4" t="s">
        <v>8</v>
      </c>
      <c r="AG29" s="4" t="s">
        <v>9</v>
      </c>
      <c r="AH29" s="4" t="s">
        <v>36</v>
      </c>
    </row>
    <row r="30" spans="1:43">
      <c r="A30" s="49">
        <v>45163</v>
      </c>
      <c r="B30" s="30">
        <v>28</v>
      </c>
      <c r="C30" s="30" t="s">
        <v>246</v>
      </c>
      <c r="D30" s="30" t="s">
        <v>49</v>
      </c>
      <c r="E30" s="30">
        <v>2</v>
      </c>
      <c r="F30" s="30">
        <v>1</v>
      </c>
      <c r="G30" s="30" t="s">
        <v>252</v>
      </c>
      <c r="H30" s="30" t="s">
        <v>253</v>
      </c>
      <c r="I30" s="30" t="s">
        <v>270</v>
      </c>
      <c r="J30" s="40" t="s">
        <v>31</v>
      </c>
      <c r="K30" s="53" t="s">
        <v>271</v>
      </c>
      <c r="L30" s="15" t="s">
        <v>278</v>
      </c>
      <c r="M30" s="54"/>
      <c r="N30" s="141" t="s">
        <v>281</v>
      </c>
      <c r="O30" s="56" t="s">
        <v>171</v>
      </c>
      <c r="P30" s="54"/>
      <c r="S30" s="71" t="s">
        <v>177</v>
      </c>
      <c r="T30" s="81">
        <f t="shared" si="0"/>
        <v>0</v>
      </c>
      <c r="U30" s="81">
        <f t="shared" si="1"/>
        <v>0</v>
      </c>
      <c r="V30" s="51">
        <f t="shared" si="2"/>
        <v>0</v>
      </c>
      <c r="Y30" s="2" t="s">
        <v>55</v>
      </c>
      <c r="Z30" s="2">
        <f t="shared" ref="Z30:Z40" si="14">SUM(AA30:AC30)</f>
        <v>4</v>
      </c>
      <c r="AA30" s="5">
        <f t="shared" ref="AA30:AA40" si="15">COUNTIFS(C:C,Y30,J:J,"승")</f>
        <v>2</v>
      </c>
      <c r="AB30" s="6">
        <f t="shared" ref="AB30:AB40" si="16">COUNTIFS(C:C,Y30,J:J,"무")</f>
        <v>1</v>
      </c>
      <c r="AC30" s="7">
        <f t="shared" ref="AC30:AC40" si="17">COUNTIFS(C:C,Y30,J:J,"패")</f>
        <v>1</v>
      </c>
      <c r="AD30" s="26">
        <f t="shared" ref="AD30:AD40" si="18">AA30*3+AB30</f>
        <v>7</v>
      </c>
      <c r="AE30" s="23">
        <f t="shared" ref="AE30:AE40" si="19">AA30/Z30</f>
        <v>0.5</v>
      </c>
      <c r="AF30" s="2">
        <f t="shared" ref="AF30:AF40" si="20">SUMIF(C:C,Y30,E:E)</f>
        <v>5</v>
      </c>
      <c r="AG30" s="2">
        <f t="shared" ref="AG30:AG40" si="21">SUMIF(C:C,Y30,F:F)</f>
        <v>3</v>
      </c>
      <c r="AH30" s="2">
        <f t="shared" ref="AH30:AH40" si="22">AF30-AG30</f>
        <v>2</v>
      </c>
    </row>
    <row r="31" spans="1:43">
      <c r="A31" s="49">
        <v>45171</v>
      </c>
      <c r="B31" s="30">
        <v>29</v>
      </c>
      <c r="C31" s="30" t="s">
        <v>57</v>
      </c>
      <c r="D31" s="30" t="s">
        <v>45</v>
      </c>
      <c r="E31" s="30">
        <v>0</v>
      </c>
      <c r="F31" s="30">
        <v>2</v>
      </c>
      <c r="G31" s="30" t="s">
        <v>247</v>
      </c>
      <c r="H31" s="30" t="s">
        <v>248</v>
      </c>
      <c r="I31" s="30" t="s">
        <v>249</v>
      </c>
      <c r="J31" s="40" t="s">
        <v>33</v>
      </c>
      <c r="K31" s="53"/>
      <c r="L31" s="15"/>
      <c r="M31" s="54"/>
      <c r="N31" s="141"/>
      <c r="O31" s="56"/>
      <c r="P31" s="54"/>
      <c r="S31" s="71" t="s">
        <v>278</v>
      </c>
      <c r="T31" s="81">
        <f t="shared" si="0"/>
        <v>3</v>
      </c>
      <c r="U31" s="81">
        <f t="shared" si="1"/>
        <v>0</v>
      </c>
      <c r="V31" s="51">
        <f t="shared" si="2"/>
        <v>3</v>
      </c>
      <c r="Y31" s="2" t="s">
        <v>67</v>
      </c>
      <c r="Z31" s="2">
        <f t="shared" si="14"/>
        <v>4</v>
      </c>
      <c r="AA31" s="5">
        <f t="shared" si="15"/>
        <v>0</v>
      </c>
      <c r="AB31" s="6">
        <f t="shared" si="16"/>
        <v>2</v>
      </c>
      <c r="AC31" s="7">
        <f t="shared" si="17"/>
        <v>2</v>
      </c>
      <c r="AD31" s="26">
        <f t="shared" si="18"/>
        <v>2</v>
      </c>
      <c r="AE31" s="23">
        <f t="shared" si="19"/>
        <v>0</v>
      </c>
      <c r="AF31" s="2">
        <f t="shared" si="20"/>
        <v>1</v>
      </c>
      <c r="AG31" s="2">
        <f t="shared" si="21"/>
        <v>5</v>
      </c>
      <c r="AH31" s="2">
        <f t="shared" si="22"/>
        <v>-4</v>
      </c>
    </row>
    <row r="32" spans="1:43">
      <c r="A32" s="49">
        <v>45185</v>
      </c>
      <c r="B32" s="30">
        <v>30</v>
      </c>
      <c r="C32" s="30" t="s">
        <v>77</v>
      </c>
      <c r="D32" s="30" t="s">
        <v>45</v>
      </c>
      <c r="E32" s="30">
        <v>2</v>
      </c>
      <c r="F32" s="30">
        <v>1</v>
      </c>
      <c r="G32" s="30" t="s">
        <v>252</v>
      </c>
      <c r="H32" s="30" t="s">
        <v>262</v>
      </c>
      <c r="I32" s="30" t="s">
        <v>263</v>
      </c>
      <c r="J32" s="40" t="s">
        <v>31</v>
      </c>
      <c r="K32" s="53" t="s">
        <v>73</v>
      </c>
      <c r="L32" s="15" t="s">
        <v>300</v>
      </c>
      <c r="M32" s="54"/>
      <c r="N32" s="141" t="s">
        <v>170</v>
      </c>
      <c r="O32" s="56" t="s">
        <v>171</v>
      </c>
      <c r="P32" s="54"/>
      <c r="S32" s="71" t="s">
        <v>189</v>
      </c>
      <c r="T32" s="81">
        <f t="shared" si="0"/>
        <v>0</v>
      </c>
      <c r="U32" s="81">
        <f t="shared" si="1"/>
        <v>0</v>
      </c>
      <c r="V32" s="51">
        <f t="shared" si="2"/>
        <v>0</v>
      </c>
      <c r="Y32" s="2" t="s">
        <v>57</v>
      </c>
      <c r="Z32" s="2">
        <f t="shared" si="14"/>
        <v>4</v>
      </c>
      <c r="AA32" s="5">
        <f t="shared" si="15"/>
        <v>1</v>
      </c>
      <c r="AB32" s="6">
        <f t="shared" si="16"/>
        <v>1</v>
      </c>
      <c r="AC32" s="7">
        <f t="shared" si="17"/>
        <v>2</v>
      </c>
      <c r="AD32" s="26">
        <f t="shared" si="18"/>
        <v>4</v>
      </c>
      <c r="AE32" s="23">
        <f t="shared" si="19"/>
        <v>0.25</v>
      </c>
      <c r="AF32" s="2">
        <f t="shared" si="20"/>
        <v>3</v>
      </c>
      <c r="AG32" s="2">
        <f t="shared" si="21"/>
        <v>4</v>
      </c>
      <c r="AH32" s="2">
        <f t="shared" si="22"/>
        <v>-1</v>
      </c>
    </row>
    <row r="33" spans="1:34">
      <c r="A33" s="49">
        <v>45193</v>
      </c>
      <c r="B33" s="30">
        <v>31</v>
      </c>
      <c r="C33" s="30" t="s">
        <v>71</v>
      </c>
      <c r="D33" s="30" t="s">
        <v>49</v>
      </c>
      <c r="E33" s="30">
        <v>1</v>
      </c>
      <c r="F33" s="30">
        <v>1</v>
      </c>
      <c r="G33" s="30" t="s">
        <v>259</v>
      </c>
      <c r="H33" s="30" t="s">
        <v>309</v>
      </c>
      <c r="I33" s="30" t="s">
        <v>273</v>
      </c>
      <c r="J33" s="40" t="s">
        <v>32</v>
      </c>
      <c r="K33" s="53" t="s">
        <v>46</v>
      </c>
      <c r="L33" s="15"/>
      <c r="M33" s="54"/>
      <c r="N33" s="141" t="s">
        <v>171</v>
      </c>
      <c r="O33" s="56"/>
      <c r="P33" s="54"/>
      <c r="S33" s="71" t="s">
        <v>97</v>
      </c>
      <c r="T33" s="81">
        <f t="shared" si="0"/>
        <v>0</v>
      </c>
      <c r="U33" s="81">
        <f t="shared" si="1"/>
        <v>0</v>
      </c>
      <c r="V33" s="51">
        <f t="shared" si="2"/>
        <v>0</v>
      </c>
      <c r="Y33" s="2" t="s">
        <v>77</v>
      </c>
      <c r="Z33" s="2">
        <f t="shared" si="14"/>
        <v>3</v>
      </c>
      <c r="AA33" s="5">
        <f t="shared" si="15"/>
        <v>2</v>
      </c>
      <c r="AB33" s="6">
        <f t="shared" si="16"/>
        <v>0</v>
      </c>
      <c r="AC33" s="7">
        <f t="shared" si="17"/>
        <v>1</v>
      </c>
      <c r="AD33" s="26">
        <f t="shared" si="18"/>
        <v>6</v>
      </c>
      <c r="AE33" s="23">
        <f t="shared" si="19"/>
        <v>0.66666666666666663</v>
      </c>
      <c r="AF33" s="2">
        <f t="shared" si="20"/>
        <v>3</v>
      </c>
      <c r="AG33" s="2">
        <f t="shared" si="21"/>
        <v>3</v>
      </c>
      <c r="AH33" s="2">
        <f t="shared" si="22"/>
        <v>0</v>
      </c>
    </row>
    <row r="34" spans="1:34">
      <c r="A34" s="49">
        <v>45199</v>
      </c>
      <c r="B34" s="30">
        <v>32</v>
      </c>
      <c r="C34" s="30" t="s">
        <v>142</v>
      </c>
      <c r="D34" s="30" t="s">
        <v>45</v>
      </c>
      <c r="E34" s="30">
        <v>2</v>
      </c>
      <c r="F34" s="30">
        <v>0</v>
      </c>
      <c r="G34" s="30" t="s">
        <v>252</v>
      </c>
      <c r="H34" s="30" t="s">
        <v>262</v>
      </c>
      <c r="I34" s="30" t="s">
        <v>316</v>
      </c>
      <c r="J34" s="40" t="s">
        <v>31</v>
      </c>
      <c r="K34" s="53" t="s">
        <v>46</v>
      </c>
      <c r="L34" s="15" t="s">
        <v>271</v>
      </c>
      <c r="M34" s="54"/>
      <c r="N34" s="141"/>
      <c r="O34" s="56" t="s">
        <v>279</v>
      </c>
      <c r="P34" s="54"/>
      <c r="S34" s="71" t="s">
        <v>280</v>
      </c>
      <c r="T34" s="81">
        <f t="shared" si="0"/>
        <v>1</v>
      </c>
      <c r="U34" s="81">
        <f t="shared" si="1"/>
        <v>0</v>
      </c>
      <c r="V34" s="51">
        <f t="shared" si="2"/>
        <v>1</v>
      </c>
      <c r="Y34" s="2" t="s">
        <v>71</v>
      </c>
      <c r="Z34" s="2">
        <f t="shared" si="14"/>
        <v>3</v>
      </c>
      <c r="AA34" s="5">
        <f t="shared" si="15"/>
        <v>2</v>
      </c>
      <c r="AB34" s="6">
        <f t="shared" si="16"/>
        <v>1</v>
      </c>
      <c r="AC34" s="7">
        <f t="shared" si="17"/>
        <v>0</v>
      </c>
      <c r="AD34" s="26">
        <f t="shared" si="18"/>
        <v>7</v>
      </c>
      <c r="AE34" s="23">
        <f t="shared" si="19"/>
        <v>0.66666666666666663</v>
      </c>
      <c r="AF34" s="2">
        <f t="shared" si="20"/>
        <v>4</v>
      </c>
      <c r="AG34" s="2">
        <f t="shared" si="21"/>
        <v>1</v>
      </c>
      <c r="AH34" s="2">
        <f t="shared" si="22"/>
        <v>3</v>
      </c>
    </row>
    <row r="35" spans="1:34">
      <c r="A35" s="49">
        <v>45207</v>
      </c>
      <c r="B35" s="30">
        <v>33</v>
      </c>
      <c r="C35" s="30" t="s">
        <v>55</v>
      </c>
      <c r="D35" s="30" t="s">
        <v>49</v>
      </c>
      <c r="E35" s="30">
        <v>0</v>
      </c>
      <c r="F35" s="30">
        <v>0</v>
      </c>
      <c r="G35" s="30" t="s">
        <v>247</v>
      </c>
      <c r="H35" s="30" t="s">
        <v>301</v>
      </c>
      <c r="I35" s="30" t="s">
        <v>249</v>
      </c>
      <c r="J35" s="40" t="s">
        <v>32</v>
      </c>
      <c r="K35" s="53"/>
      <c r="L35" s="15"/>
      <c r="M35" s="54"/>
      <c r="N35" s="141"/>
      <c r="O35" s="56"/>
      <c r="P35" s="54"/>
      <c r="S35" s="71" t="s">
        <v>105</v>
      </c>
      <c r="T35" s="81">
        <f t="shared" si="0"/>
        <v>0</v>
      </c>
      <c r="U35" s="81">
        <f t="shared" si="1"/>
        <v>0</v>
      </c>
      <c r="V35" s="51">
        <f t="shared" si="2"/>
        <v>0</v>
      </c>
      <c r="Y35" s="2" t="s">
        <v>246</v>
      </c>
      <c r="Z35" s="2">
        <f t="shared" si="14"/>
        <v>3</v>
      </c>
      <c r="AA35" s="5">
        <f t="shared" si="15"/>
        <v>1</v>
      </c>
      <c r="AB35" s="6">
        <f t="shared" si="16"/>
        <v>2</v>
      </c>
      <c r="AC35" s="7">
        <f t="shared" si="17"/>
        <v>0</v>
      </c>
      <c r="AD35" s="26">
        <f t="shared" si="18"/>
        <v>5</v>
      </c>
      <c r="AE35" s="23">
        <f t="shared" si="19"/>
        <v>0.33333333333333331</v>
      </c>
      <c r="AF35" s="2">
        <f t="shared" si="20"/>
        <v>6</v>
      </c>
      <c r="AG35" s="2">
        <f t="shared" si="21"/>
        <v>5</v>
      </c>
      <c r="AH35" s="2">
        <f t="shared" si="22"/>
        <v>1</v>
      </c>
    </row>
    <row r="36" spans="1:34">
      <c r="A36" s="35">
        <v>45219</v>
      </c>
      <c r="B36" s="24">
        <v>34</v>
      </c>
      <c r="C36" s="24" t="s">
        <v>57</v>
      </c>
      <c r="D36" s="24" t="s">
        <v>49</v>
      </c>
      <c r="E36" s="24">
        <v>1</v>
      </c>
      <c r="F36" s="24">
        <v>1</v>
      </c>
      <c r="G36" s="24" t="s">
        <v>252</v>
      </c>
      <c r="H36" s="24" t="s">
        <v>262</v>
      </c>
      <c r="I36" s="24" t="s">
        <v>254</v>
      </c>
      <c r="J36" s="41" t="s">
        <v>32</v>
      </c>
      <c r="K36" s="57" t="s">
        <v>70</v>
      </c>
      <c r="L36" s="58"/>
      <c r="M36" s="59"/>
      <c r="N36" s="142" t="s">
        <v>107</v>
      </c>
      <c r="O36" s="61"/>
      <c r="P36" s="59"/>
      <c r="S36" s="71" t="s">
        <v>178</v>
      </c>
      <c r="T36" s="81">
        <f t="shared" si="0"/>
        <v>0</v>
      </c>
      <c r="U36" s="81">
        <f t="shared" si="1"/>
        <v>0</v>
      </c>
      <c r="V36" s="51">
        <f t="shared" si="2"/>
        <v>0</v>
      </c>
      <c r="Y36" s="2" t="s">
        <v>44</v>
      </c>
      <c r="Z36" s="2">
        <f t="shared" si="14"/>
        <v>3</v>
      </c>
      <c r="AA36" s="5">
        <f t="shared" si="15"/>
        <v>1</v>
      </c>
      <c r="AB36" s="6">
        <f t="shared" si="16"/>
        <v>1</v>
      </c>
      <c r="AC36" s="7">
        <f t="shared" si="17"/>
        <v>1</v>
      </c>
      <c r="AD36" s="26">
        <f t="shared" si="18"/>
        <v>4</v>
      </c>
      <c r="AE36" s="23">
        <f t="shared" si="19"/>
        <v>0.33333333333333331</v>
      </c>
      <c r="AF36" s="2">
        <f t="shared" si="20"/>
        <v>3</v>
      </c>
      <c r="AG36" s="2">
        <f t="shared" si="21"/>
        <v>3</v>
      </c>
      <c r="AH36" s="2">
        <f t="shared" si="22"/>
        <v>0</v>
      </c>
    </row>
    <row r="37" spans="1:34">
      <c r="A37" s="35">
        <v>45227</v>
      </c>
      <c r="B37" s="24">
        <v>35</v>
      </c>
      <c r="C37" s="24" t="s">
        <v>48</v>
      </c>
      <c r="D37" s="24" t="s">
        <v>49</v>
      </c>
      <c r="E37" s="24">
        <v>2</v>
      </c>
      <c r="F37" s="24">
        <v>0</v>
      </c>
      <c r="G37" s="24" t="s">
        <v>247</v>
      </c>
      <c r="H37" s="24" t="s">
        <v>301</v>
      </c>
      <c r="I37" s="24" t="s">
        <v>249</v>
      </c>
      <c r="J37" s="41" t="s">
        <v>31</v>
      </c>
      <c r="K37" s="57" t="s">
        <v>268</v>
      </c>
      <c r="L37" s="58" t="s">
        <v>156</v>
      </c>
      <c r="M37" s="59"/>
      <c r="N37" s="142"/>
      <c r="O37" s="61"/>
      <c r="P37" s="59"/>
      <c r="S37" s="68" t="s">
        <v>107</v>
      </c>
      <c r="T37" s="81">
        <f t="shared" si="0"/>
        <v>0</v>
      </c>
      <c r="U37" s="81">
        <f t="shared" si="1"/>
        <v>1</v>
      </c>
      <c r="V37" s="51">
        <f t="shared" si="2"/>
        <v>1</v>
      </c>
      <c r="Y37" s="2" t="s">
        <v>265</v>
      </c>
      <c r="Z37" s="2">
        <f t="shared" si="14"/>
        <v>4</v>
      </c>
      <c r="AA37" s="5">
        <f t="shared" si="15"/>
        <v>1</v>
      </c>
      <c r="AB37" s="6">
        <f t="shared" si="16"/>
        <v>2</v>
      </c>
      <c r="AC37" s="7">
        <f t="shared" si="17"/>
        <v>1</v>
      </c>
      <c r="AD37" s="26">
        <f t="shared" si="18"/>
        <v>5</v>
      </c>
      <c r="AE37" s="23">
        <f t="shared" si="19"/>
        <v>0.25</v>
      </c>
      <c r="AF37" s="2">
        <f t="shared" si="20"/>
        <v>6</v>
      </c>
      <c r="AG37" s="2">
        <f t="shared" si="21"/>
        <v>5</v>
      </c>
      <c r="AH37" s="2">
        <f t="shared" si="22"/>
        <v>1</v>
      </c>
    </row>
    <row r="38" spans="1:34">
      <c r="A38" s="35">
        <v>45242</v>
      </c>
      <c r="B38" s="24">
        <v>36</v>
      </c>
      <c r="C38" s="24" t="s">
        <v>67</v>
      </c>
      <c r="D38" s="24" t="s">
        <v>45</v>
      </c>
      <c r="E38" s="24">
        <v>1</v>
      </c>
      <c r="F38" s="24">
        <v>1</v>
      </c>
      <c r="G38" s="24" t="s">
        <v>252</v>
      </c>
      <c r="H38" s="24" t="s">
        <v>262</v>
      </c>
      <c r="I38" s="24" t="s">
        <v>263</v>
      </c>
      <c r="J38" s="41" t="s">
        <v>32</v>
      </c>
      <c r="K38" s="62" t="s">
        <v>170</v>
      </c>
      <c r="L38" s="58"/>
      <c r="M38" s="59"/>
      <c r="N38" s="142"/>
      <c r="O38" s="61"/>
      <c r="P38" s="59"/>
      <c r="S38" s="68" t="s">
        <v>108</v>
      </c>
      <c r="T38" s="81">
        <f t="shared" si="0"/>
        <v>0</v>
      </c>
      <c r="U38" s="81">
        <f t="shared" si="1"/>
        <v>1</v>
      </c>
      <c r="V38" s="51">
        <f t="shared" si="2"/>
        <v>1</v>
      </c>
      <c r="Y38" s="2" t="s">
        <v>142</v>
      </c>
      <c r="Z38" s="2">
        <f t="shared" si="14"/>
        <v>3</v>
      </c>
      <c r="AA38" s="5">
        <f t="shared" si="15"/>
        <v>1</v>
      </c>
      <c r="AB38" s="6">
        <f t="shared" si="16"/>
        <v>1</v>
      </c>
      <c r="AC38" s="7">
        <f t="shared" si="17"/>
        <v>1</v>
      </c>
      <c r="AD38" s="26">
        <f t="shared" si="18"/>
        <v>4</v>
      </c>
      <c r="AE38" s="23">
        <f t="shared" si="19"/>
        <v>0.33333333333333331</v>
      </c>
      <c r="AF38" s="2">
        <f t="shared" si="20"/>
        <v>2</v>
      </c>
      <c r="AG38" s="2">
        <f t="shared" si="21"/>
        <v>1</v>
      </c>
      <c r="AH38" s="2">
        <f t="shared" si="22"/>
        <v>1</v>
      </c>
    </row>
    <row r="39" spans="1:34">
      <c r="A39" s="35">
        <v>45254</v>
      </c>
      <c r="B39" s="24">
        <v>37</v>
      </c>
      <c r="C39" s="24" t="s">
        <v>55</v>
      </c>
      <c r="D39" s="24" t="s">
        <v>45</v>
      </c>
      <c r="E39" s="24">
        <v>3</v>
      </c>
      <c r="F39" s="24">
        <v>1</v>
      </c>
      <c r="G39" s="24" t="s">
        <v>247</v>
      </c>
      <c r="H39" s="24" t="s">
        <v>301</v>
      </c>
      <c r="I39" s="24" t="s">
        <v>249</v>
      </c>
      <c r="J39" s="41" t="s">
        <v>31</v>
      </c>
      <c r="K39" s="57" t="s">
        <v>54</v>
      </c>
      <c r="L39" s="58" t="s">
        <v>111</v>
      </c>
      <c r="M39" s="59" t="s">
        <v>278</v>
      </c>
      <c r="N39" s="143" t="s">
        <v>268</v>
      </c>
      <c r="O39" s="58" t="s">
        <v>300</v>
      </c>
      <c r="P39" s="59" t="s">
        <v>143</v>
      </c>
      <c r="S39" s="68" t="s">
        <v>179</v>
      </c>
      <c r="T39" s="81">
        <f t="shared" si="0"/>
        <v>0</v>
      </c>
      <c r="U39" s="81">
        <f t="shared" si="1"/>
        <v>0</v>
      </c>
      <c r="V39" s="51">
        <f t="shared" si="2"/>
        <v>0</v>
      </c>
      <c r="Y39" s="2" t="s">
        <v>48</v>
      </c>
      <c r="Z39" s="2">
        <f t="shared" si="14"/>
        <v>4</v>
      </c>
      <c r="AA39" s="5">
        <f t="shared" si="15"/>
        <v>1</v>
      </c>
      <c r="AB39" s="6">
        <f t="shared" si="16"/>
        <v>2</v>
      </c>
      <c r="AC39" s="7">
        <f t="shared" si="17"/>
        <v>1</v>
      </c>
      <c r="AD39" s="26">
        <f t="shared" si="18"/>
        <v>5</v>
      </c>
      <c r="AE39" s="23">
        <f t="shared" si="19"/>
        <v>0.25</v>
      </c>
      <c r="AF39" s="2">
        <f t="shared" si="20"/>
        <v>5</v>
      </c>
      <c r="AG39" s="2">
        <f t="shared" si="21"/>
        <v>8</v>
      </c>
      <c r="AH39" s="2">
        <f t="shared" si="22"/>
        <v>-3</v>
      </c>
    </row>
    <row r="40" spans="1:34" ht="17.5" customHeight="1" thickBot="1">
      <c r="A40" s="36">
        <v>45263</v>
      </c>
      <c r="B40" s="37">
        <v>38</v>
      </c>
      <c r="C40" s="37" t="s">
        <v>265</v>
      </c>
      <c r="D40" s="37" t="s">
        <v>49</v>
      </c>
      <c r="E40" s="37">
        <v>1</v>
      </c>
      <c r="F40" s="37">
        <v>2</v>
      </c>
      <c r="G40" s="37" t="s">
        <v>259</v>
      </c>
      <c r="H40" s="37" t="s">
        <v>251</v>
      </c>
      <c r="I40" s="37" t="s">
        <v>260</v>
      </c>
      <c r="J40" s="42" t="s">
        <v>33</v>
      </c>
      <c r="K40" s="63" t="s">
        <v>300</v>
      </c>
      <c r="L40" s="64"/>
      <c r="M40" s="65"/>
      <c r="N40" s="144" t="s">
        <v>111</v>
      </c>
      <c r="O40" s="67"/>
      <c r="P40" s="65"/>
      <c r="S40" s="69" t="s">
        <v>284</v>
      </c>
      <c r="T40" s="82">
        <f t="shared" si="0"/>
        <v>0</v>
      </c>
      <c r="U40" s="81">
        <f t="shared" si="1"/>
        <v>0</v>
      </c>
      <c r="V40" s="51">
        <f t="shared" si="2"/>
        <v>0</v>
      </c>
      <c r="Y40" s="2" t="s">
        <v>61</v>
      </c>
      <c r="Z40" s="2">
        <f t="shared" si="14"/>
        <v>3</v>
      </c>
      <c r="AA40" s="5">
        <f t="shared" si="15"/>
        <v>2</v>
      </c>
      <c r="AB40" s="6">
        <f t="shared" si="16"/>
        <v>1</v>
      </c>
      <c r="AC40" s="7">
        <f t="shared" si="17"/>
        <v>0</v>
      </c>
      <c r="AD40" s="26">
        <f t="shared" si="18"/>
        <v>7</v>
      </c>
      <c r="AE40" s="23">
        <f t="shared" si="19"/>
        <v>0.66666666666666663</v>
      </c>
      <c r="AF40" s="2">
        <f t="shared" si="20"/>
        <v>8</v>
      </c>
      <c r="AG40" s="2">
        <f t="shared" si="21"/>
        <v>4</v>
      </c>
      <c r="AH40" s="2">
        <f t="shared" si="22"/>
        <v>4</v>
      </c>
    </row>
  </sheetData>
  <phoneticPr fontId="3" type="noConversion"/>
  <conditionalFormatting sqref="AE30:AE40">
    <cfRule type="cellIs" dxfId="36" priority="7" operator="greaterThan">
      <formula>0.5</formula>
    </cfRule>
  </conditionalFormatting>
  <conditionalFormatting sqref="AO3:AO11">
    <cfRule type="top10" dxfId="35" priority="6" percent="1" rank="5"/>
  </conditionalFormatting>
  <conditionalFormatting sqref="AO12:AO13">
    <cfRule type="top10" dxfId="34" priority="1" percent="1" rank="5"/>
  </conditionalFormatting>
  <conditionalFormatting sqref="AO15:AO23">
    <cfRule type="top10" dxfId="33" priority="4" percent="1" rank="10"/>
    <cfRule type="top10" dxfId="32" priority="5" percent="1" rank="5"/>
  </conditionalFormatting>
  <conditionalFormatting sqref="AQ3:AQ11">
    <cfRule type="aboveAverage" dxfId="31" priority="8"/>
    <cfRule type="top10" dxfId="30" priority="11" percent="1" rank="10"/>
  </conditionalFormatting>
  <conditionalFormatting sqref="AQ12:AQ13">
    <cfRule type="aboveAverage" dxfId="29" priority="2"/>
    <cfRule type="top10" dxfId="28" priority="3" percent="1" rank="10"/>
  </conditionalFormatting>
  <conditionalFormatting sqref="AQ15:AQ23">
    <cfRule type="aboveAverage" dxfId="27" priority="9"/>
    <cfRule type="top10" dxfId="26" priority="10" percent="1" rank="10"/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40"/>
  <sheetViews>
    <sheetView showGridLines="0" zoomScale="85" zoomScaleNormal="85" workbookViewId="0">
      <selection activeCell="L12" sqref="L12"/>
    </sheetView>
  </sheetViews>
  <sheetFormatPr defaultRowHeight="17"/>
  <cols>
    <col min="1" max="1" width="10.58203125" style="18" bestFit="1" customWidth="1"/>
    <col min="2" max="2" width="6.5" style="18" bestFit="1" customWidth="1"/>
    <col min="3" max="3" width="11.75" style="18" bestFit="1" customWidth="1"/>
    <col min="4" max="4" width="7.08203125" style="18" bestFit="1" customWidth="1"/>
    <col min="5" max="6" width="5.5" style="18" bestFit="1" customWidth="1"/>
    <col min="7" max="7" width="9.25" style="18" bestFit="1" customWidth="1"/>
    <col min="8" max="8" width="7.08203125" style="18" bestFit="1" customWidth="1"/>
    <col min="9" max="9" width="7.33203125" style="18" bestFit="1" customWidth="1"/>
    <col min="10" max="10" width="5.5" style="18" bestFit="1" customWidth="1"/>
    <col min="11" max="11" width="7.08203125" style="452" bestFit="1" customWidth="1"/>
    <col min="12" max="12" width="10" style="452" customWidth="1"/>
    <col min="13" max="14" width="11" style="452" bestFit="1" customWidth="1"/>
    <col min="15" max="15" width="6.58203125" style="452" bestFit="1" customWidth="1"/>
    <col min="16" max="16" width="11" style="452" bestFit="1" customWidth="1"/>
    <col min="17" max="20" width="6.58203125" style="452" bestFit="1" customWidth="1"/>
    <col min="21" max="21" width="3.25" style="452" bestFit="1" customWidth="1"/>
    <col min="22" max="22" width="3.33203125" style="452" bestFit="1" customWidth="1"/>
    <col min="23" max="23" width="11" style="452" bestFit="1" customWidth="1"/>
    <col min="24" max="26" width="5.5" style="452" bestFit="1" customWidth="1"/>
    <col min="27" max="27" width="9.25" style="452" bestFit="1" customWidth="1"/>
    <col min="28" max="28" width="8.25" style="452" bestFit="1" customWidth="1"/>
    <col min="29" max="29" width="9.25" style="452" bestFit="1" customWidth="1"/>
    <col min="30" max="30" width="5.5" style="452" bestFit="1" customWidth="1"/>
    <col min="31" max="32" width="3.25" style="452" bestFit="1" customWidth="1"/>
    <col min="33" max="33" width="3.58203125" style="452" bestFit="1" customWidth="1"/>
    <col min="34" max="34" width="6" style="452" bestFit="1" customWidth="1"/>
    <col min="35" max="35" width="8.58203125" style="452" bestFit="1" customWidth="1"/>
  </cols>
  <sheetData>
    <row r="1" spans="1:47" ht="17.5" customHeight="1" thickBot="1"/>
    <row r="2" spans="1:47">
      <c r="A2" s="33" t="s">
        <v>3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9</v>
      </c>
      <c r="G2" s="34" t="s">
        <v>11</v>
      </c>
      <c r="H2" s="34" t="s">
        <v>12</v>
      </c>
      <c r="I2" s="34" t="s">
        <v>13</v>
      </c>
      <c r="J2" s="39" t="s">
        <v>10</v>
      </c>
      <c r="K2" s="44" t="s">
        <v>14</v>
      </c>
      <c r="L2" s="45" t="s">
        <v>15</v>
      </c>
      <c r="M2" s="45" t="s">
        <v>16</v>
      </c>
      <c r="N2" s="45" t="s">
        <v>17</v>
      </c>
      <c r="O2" s="46" t="s">
        <v>243</v>
      </c>
      <c r="P2" s="47" t="s">
        <v>18</v>
      </c>
      <c r="Q2" s="48" t="s">
        <v>19</v>
      </c>
      <c r="R2" s="48" t="s">
        <v>20</v>
      </c>
      <c r="S2" s="48" t="s">
        <v>21</v>
      </c>
      <c r="T2" s="43" t="s">
        <v>244</v>
      </c>
      <c r="W2" s="33" t="s">
        <v>24</v>
      </c>
      <c r="X2" s="38" t="s">
        <v>8</v>
      </c>
      <c r="Y2" s="38" t="s">
        <v>28</v>
      </c>
      <c r="Z2" s="38" t="s">
        <v>29</v>
      </c>
      <c r="AC2" s="4" t="s">
        <v>11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138</v>
      </c>
      <c r="AN2" s="4" t="s">
        <v>245</v>
      </c>
      <c r="AO2" s="4" t="s">
        <v>30</v>
      </c>
      <c r="AP2" s="4" t="s">
        <v>31</v>
      </c>
      <c r="AQ2" s="4" t="s">
        <v>32</v>
      </c>
      <c r="AR2" s="4" t="s">
        <v>33</v>
      </c>
      <c r="AS2" s="4" t="s">
        <v>34</v>
      </c>
      <c r="AT2" s="4" t="s">
        <v>35</v>
      </c>
      <c r="AU2" s="4" t="s">
        <v>138</v>
      </c>
    </row>
    <row r="3" spans="1:47">
      <c r="A3" s="49">
        <v>45160</v>
      </c>
      <c r="B3" s="30" t="s">
        <v>320</v>
      </c>
      <c r="C3" s="30" t="s">
        <v>321</v>
      </c>
      <c r="D3" s="30" t="s">
        <v>45</v>
      </c>
      <c r="E3" s="30">
        <v>3</v>
      </c>
      <c r="F3" s="30">
        <v>1</v>
      </c>
      <c r="G3" s="30" t="s">
        <v>252</v>
      </c>
      <c r="H3" s="30" t="s">
        <v>257</v>
      </c>
      <c r="I3" s="30" t="s">
        <v>254</v>
      </c>
      <c r="J3" s="40" t="s">
        <v>31</v>
      </c>
      <c r="K3" s="53" t="s">
        <v>271</v>
      </c>
      <c r="L3" s="15" t="s">
        <v>300</v>
      </c>
      <c r="M3" s="15" t="s">
        <v>70</v>
      </c>
      <c r="N3" s="15"/>
      <c r="O3" s="54"/>
      <c r="P3" s="55" t="s">
        <v>46</v>
      </c>
      <c r="Q3" s="56" t="s">
        <v>70</v>
      </c>
      <c r="R3" s="56"/>
      <c r="S3" s="56"/>
      <c r="T3" s="54"/>
      <c r="W3" s="72" t="s">
        <v>300</v>
      </c>
      <c r="X3" s="81">
        <f t="shared" ref="X3:X40" si="0">COUNTIF(K$3:O$40,W3)</f>
        <v>5</v>
      </c>
      <c r="Y3" s="81">
        <f t="shared" ref="Y3:Y40" si="1">COUNTIF(P$3:T$40,W3)</f>
        <v>0</v>
      </c>
      <c r="Z3" s="51">
        <f t="shared" ref="Z3:Z40" si="2">X3+Y3</f>
        <v>5</v>
      </c>
      <c r="AC3" s="20" t="s">
        <v>303</v>
      </c>
      <c r="AD3" s="20">
        <f>SUM(AE3:AG3)</f>
        <v>5</v>
      </c>
      <c r="AE3" s="28">
        <f>COUNTIFS(G:G,AC3,J:J,AE$2)</f>
        <v>3</v>
      </c>
      <c r="AF3" s="28">
        <f>COUNTIFS(G:G,AC3,J:J,AF$2)</f>
        <v>0</v>
      </c>
      <c r="AG3" s="29">
        <f>COUNTIFS(G:G,AC3,J:J,AG$2)</f>
        <v>2</v>
      </c>
      <c r="AH3" s="8">
        <f>AE3*3+AF3</f>
        <v>9</v>
      </c>
      <c r="AI3" s="23">
        <f>AE3/AD3</f>
        <v>0.6</v>
      </c>
      <c r="AJ3" s="25">
        <f>AH3/AD3</f>
        <v>1.8</v>
      </c>
      <c r="AN3" s="2" t="s">
        <v>311</v>
      </c>
      <c r="AO3" s="2">
        <f>SUM(AP3:AR3)</f>
        <v>1</v>
      </c>
      <c r="AP3" s="5">
        <f>COUNTIFS(H:H,AN3,J:J,AP$2)</f>
        <v>0</v>
      </c>
      <c r="AQ3" s="6">
        <f>COUNTIFS(H:H,AN3,J:J,AQ$2)</f>
        <v>0</v>
      </c>
      <c r="AR3" s="7">
        <f>COUNTIFS(H:H,AN3,J:J,AR$2)</f>
        <v>1</v>
      </c>
      <c r="AS3" s="26">
        <f>AP3*3+AQ3</f>
        <v>0</v>
      </c>
      <c r="AT3" s="11">
        <f>AP3/AO3</f>
        <v>0</v>
      </c>
      <c r="AU3" s="22">
        <f>AS3/AO3</f>
        <v>0</v>
      </c>
    </row>
    <row r="4" spans="1:47">
      <c r="A4" s="49">
        <v>45188</v>
      </c>
      <c r="B4" s="30">
        <v>1</v>
      </c>
      <c r="C4" s="30" t="s">
        <v>323</v>
      </c>
      <c r="D4" s="30" t="s">
        <v>49</v>
      </c>
      <c r="E4" s="30">
        <v>4</v>
      </c>
      <c r="F4" s="30">
        <v>2</v>
      </c>
      <c r="G4" s="30" t="s">
        <v>303</v>
      </c>
      <c r="H4" s="30" t="s">
        <v>310</v>
      </c>
      <c r="I4" s="30" t="s">
        <v>305</v>
      </c>
      <c r="J4" s="40" t="s">
        <v>31</v>
      </c>
      <c r="K4" s="53" t="s">
        <v>314</v>
      </c>
      <c r="L4" s="15" t="s">
        <v>70</v>
      </c>
      <c r="M4" s="15" t="s">
        <v>300</v>
      </c>
      <c r="N4" s="15" t="s">
        <v>300</v>
      </c>
      <c r="O4" s="54"/>
      <c r="P4" s="56"/>
      <c r="Q4" s="56" t="s">
        <v>170</v>
      </c>
      <c r="R4" s="56" t="s">
        <v>272</v>
      </c>
      <c r="S4" s="56" t="s">
        <v>272</v>
      </c>
      <c r="T4" s="54"/>
      <c r="W4" s="72" t="s">
        <v>70</v>
      </c>
      <c r="X4" s="81">
        <f t="shared" si="0"/>
        <v>2</v>
      </c>
      <c r="Y4" s="81">
        <f t="shared" si="1"/>
        <v>2</v>
      </c>
      <c r="Z4" s="51">
        <f t="shared" si="2"/>
        <v>4</v>
      </c>
      <c r="AC4" s="2" t="s">
        <v>252</v>
      </c>
      <c r="AD4" s="2">
        <f>SUM(AE4:AG4)</f>
        <v>1</v>
      </c>
      <c r="AE4" s="28">
        <f>COUNTIFS(G:G,AC4,J:J,AE$2)</f>
        <v>1</v>
      </c>
      <c r="AF4" s="28">
        <f>COUNTIFS(G:G,AC4,J:J,AF$2)</f>
        <v>0</v>
      </c>
      <c r="AG4" s="29">
        <f>COUNTIFS(G:G,AC4,J:J,AG$2)</f>
        <v>0</v>
      </c>
      <c r="AH4" s="8">
        <f>AE4*3+AF4</f>
        <v>3</v>
      </c>
      <c r="AI4" s="10">
        <f>AE4/AD4</f>
        <v>1</v>
      </c>
      <c r="AJ4" s="22">
        <f>AH4/AD4</f>
        <v>3</v>
      </c>
      <c r="AN4" s="2" t="s">
        <v>310</v>
      </c>
      <c r="AO4" s="2">
        <f>SUM(AP4:AR4)</f>
        <v>2</v>
      </c>
      <c r="AP4" s="5">
        <f>COUNTIFS(H:H,AN4,J:J,AP$2)</f>
        <v>2</v>
      </c>
      <c r="AQ4" s="6">
        <f>COUNTIFS(H:H,AN4,J:J,AQ$2)</f>
        <v>0</v>
      </c>
      <c r="AR4" s="7">
        <f>COUNTIFS(H:H,AN4,J:J,AR$2)</f>
        <v>0</v>
      </c>
      <c r="AS4" s="8">
        <f>AP4*3+AQ4</f>
        <v>6</v>
      </c>
      <c r="AT4" s="11">
        <f>AP4/AO4</f>
        <v>1</v>
      </c>
      <c r="AU4" s="22">
        <f>AS4/AO4</f>
        <v>3</v>
      </c>
    </row>
    <row r="5" spans="1:47">
      <c r="A5" s="49">
        <v>45202</v>
      </c>
      <c r="B5" s="30">
        <v>2</v>
      </c>
      <c r="C5" s="30" t="s">
        <v>324</v>
      </c>
      <c r="D5" s="30" t="s">
        <v>45</v>
      </c>
      <c r="E5" s="30">
        <v>4</v>
      </c>
      <c r="F5" s="30">
        <v>0</v>
      </c>
      <c r="G5" s="30" t="s">
        <v>303</v>
      </c>
      <c r="H5" s="30" t="s">
        <v>310</v>
      </c>
      <c r="I5" s="30" t="s">
        <v>305</v>
      </c>
      <c r="J5" s="40" t="s">
        <v>31</v>
      </c>
      <c r="K5" s="53" t="s">
        <v>46</v>
      </c>
      <c r="L5" s="15" t="s">
        <v>46</v>
      </c>
      <c r="M5" s="15" t="s">
        <v>300</v>
      </c>
      <c r="N5" s="15" t="s">
        <v>272</v>
      </c>
      <c r="O5" s="54"/>
      <c r="P5" s="55" t="s">
        <v>112</v>
      </c>
      <c r="Q5" s="56"/>
      <c r="R5" s="56" t="s">
        <v>70</v>
      </c>
      <c r="S5" s="56"/>
      <c r="T5" s="54"/>
      <c r="W5" s="72" t="s">
        <v>272</v>
      </c>
      <c r="X5" s="81">
        <f t="shared" si="0"/>
        <v>1</v>
      </c>
      <c r="Y5" s="81">
        <f t="shared" si="1"/>
        <v>2</v>
      </c>
      <c r="Z5" s="51">
        <f t="shared" si="2"/>
        <v>3</v>
      </c>
      <c r="AC5" s="2"/>
      <c r="AD5" s="2"/>
      <c r="AE5" s="28"/>
      <c r="AF5" s="28"/>
      <c r="AG5" s="29"/>
      <c r="AH5" s="8"/>
      <c r="AI5" s="10"/>
      <c r="AJ5" s="22"/>
      <c r="AN5" s="2" t="s">
        <v>257</v>
      </c>
      <c r="AO5" s="2">
        <f>SUM(AP5:AR5)</f>
        <v>1</v>
      </c>
      <c r="AP5" s="5">
        <f>COUNTIFS(H:H,AN5,J:J,AP$2)</f>
        <v>1</v>
      </c>
      <c r="AQ5" s="6">
        <f>COUNTIFS(H:H,AN5,J:J,AQ$2)</f>
        <v>0</v>
      </c>
      <c r="AR5" s="7">
        <f>COUNTIFS(H:H,AN5,J:J,AR$2)</f>
        <v>0</v>
      </c>
      <c r="AS5" s="8">
        <f>AP5*3+AQ5</f>
        <v>3</v>
      </c>
      <c r="AT5" s="11">
        <f>AP5/AO5</f>
        <v>1</v>
      </c>
      <c r="AU5" s="22">
        <f>AS5/AO5</f>
        <v>3</v>
      </c>
    </row>
    <row r="6" spans="1:47">
      <c r="A6" s="49">
        <v>45224</v>
      </c>
      <c r="B6" s="30">
        <v>3</v>
      </c>
      <c r="C6" s="30" t="s">
        <v>325</v>
      </c>
      <c r="D6" s="30" t="s">
        <v>45</v>
      </c>
      <c r="E6" s="30">
        <v>0</v>
      </c>
      <c r="F6" s="30">
        <v>2</v>
      </c>
      <c r="G6" s="30" t="s">
        <v>303</v>
      </c>
      <c r="H6" s="30" t="s">
        <v>311</v>
      </c>
      <c r="I6" s="30" t="s">
        <v>317</v>
      </c>
      <c r="J6" s="40" t="s">
        <v>33</v>
      </c>
      <c r="K6" s="53"/>
      <c r="L6" s="15"/>
      <c r="M6" s="15"/>
      <c r="N6" s="15"/>
      <c r="O6" s="54"/>
      <c r="P6" s="55"/>
      <c r="Q6" s="56"/>
      <c r="R6" s="56"/>
      <c r="S6" s="56"/>
      <c r="T6" s="54"/>
      <c r="W6" s="72" t="s">
        <v>143</v>
      </c>
      <c r="X6" s="81">
        <f t="shared" si="0"/>
        <v>0</v>
      </c>
      <c r="Y6" s="81">
        <f t="shared" si="1"/>
        <v>1</v>
      </c>
      <c r="Z6" s="51">
        <f t="shared" si="2"/>
        <v>1</v>
      </c>
      <c r="AC6" s="2"/>
      <c r="AD6" s="2"/>
      <c r="AE6" s="30"/>
      <c r="AF6" s="15"/>
      <c r="AG6" s="16"/>
      <c r="AH6" s="8"/>
      <c r="AI6" s="23"/>
      <c r="AJ6" s="22"/>
      <c r="AN6" s="20"/>
      <c r="AO6" s="2"/>
      <c r="AP6" s="5"/>
      <c r="AQ6" s="6"/>
      <c r="AR6" s="7"/>
      <c r="AS6" s="26"/>
      <c r="AT6" s="11"/>
      <c r="AU6" s="22"/>
    </row>
    <row r="7" spans="1:47">
      <c r="A7" s="49">
        <v>45237</v>
      </c>
      <c r="B7" s="30">
        <v>4</v>
      </c>
      <c r="C7" s="30" t="s">
        <v>325</v>
      </c>
      <c r="D7" s="30" t="s">
        <v>49</v>
      </c>
      <c r="E7" s="30">
        <v>1</v>
      </c>
      <c r="F7" s="30">
        <v>3</v>
      </c>
      <c r="G7" s="30" t="s">
        <v>303</v>
      </c>
      <c r="H7" s="30"/>
      <c r="I7" s="30" t="s">
        <v>305</v>
      </c>
      <c r="J7" s="40" t="s">
        <v>33</v>
      </c>
      <c r="K7" s="53" t="s">
        <v>170</v>
      </c>
      <c r="L7" s="15"/>
      <c r="M7" s="15"/>
      <c r="N7" s="15"/>
      <c r="O7" s="54"/>
      <c r="P7" s="55" t="s">
        <v>156</v>
      </c>
      <c r="Q7" s="56"/>
      <c r="R7" s="56"/>
      <c r="S7" s="56"/>
      <c r="T7" s="54"/>
      <c r="W7" s="72" t="s">
        <v>271</v>
      </c>
      <c r="X7" s="81">
        <f t="shared" si="0"/>
        <v>1</v>
      </c>
      <c r="Y7" s="81">
        <f t="shared" si="1"/>
        <v>0</v>
      </c>
      <c r="Z7" s="51">
        <f t="shared" si="2"/>
        <v>1</v>
      </c>
      <c r="AB7" s="4" t="s">
        <v>7</v>
      </c>
      <c r="AC7" s="4" t="s">
        <v>11</v>
      </c>
      <c r="AD7" s="4" t="s">
        <v>30</v>
      </c>
      <c r="AE7" s="4" t="s">
        <v>31</v>
      </c>
      <c r="AF7" s="4" t="s">
        <v>32</v>
      </c>
      <c r="AG7" s="4" t="s">
        <v>33</v>
      </c>
      <c r="AH7" s="4" t="s">
        <v>34</v>
      </c>
      <c r="AI7" s="4" t="s">
        <v>35</v>
      </c>
      <c r="AJ7" s="4" t="s">
        <v>138</v>
      </c>
      <c r="AN7" s="20"/>
      <c r="AO7" s="2"/>
      <c r="AP7" s="5"/>
      <c r="AQ7" s="6"/>
      <c r="AR7" s="7"/>
      <c r="AS7" s="8"/>
      <c r="AT7" s="11"/>
      <c r="AU7" s="22"/>
    </row>
    <row r="8" spans="1:47">
      <c r="A8" s="49">
        <v>45258</v>
      </c>
      <c r="B8" s="30">
        <v>5</v>
      </c>
      <c r="C8" s="30" t="s">
        <v>323</v>
      </c>
      <c r="D8" s="30" t="s">
        <v>45</v>
      </c>
      <c r="E8" s="30">
        <v>2</v>
      </c>
      <c r="F8" s="30">
        <v>1</v>
      </c>
      <c r="G8" s="30" t="s">
        <v>303</v>
      </c>
      <c r="H8" s="30"/>
      <c r="I8" s="30"/>
      <c r="J8" s="40" t="s">
        <v>31</v>
      </c>
      <c r="K8" s="53" t="s">
        <v>111</v>
      </c>
      <c r="L8" s="15" t="s">
        <v>300</v>
      </c>
      <c r="M8" s="15"/>
      <c r="N8" s="15"/>
      <c r="O8" s="54"/>
      <c r="P8" s="55"/>
      <c r="Q8" s="56" t="s">
        <v>143</v>
      </c>
      <c r="R8" s="56"/>
      <c r="S8" s="56"/>
      <c r="T8" s="54"/>
      <c r="W8" s="72" t="s">
        <v>46</v>
      </c>
      <c r="X8" s="81">
        <f t="shared" si="0"/>
        <v>2</v>
      </c>
      <c r="Y8" s="81">
        <f t="shared" si="1"/>
        <v>1</v>
      </c>
      <c r="Z8" s="51">
        <f t="shared" si="2"/>
        <v>3</v>
      </c>
      <c r="AB8" s="2" t="s">
        <v>45</v>
      </c>
      <c r="AC8" s="20" t="s">
        <v>303</v>
      </c>
      <c r="AD8" s="2">
        <f>SUM(AE8:AG8)</f>
        <v>3</v>
      </c>
      <c r="AE8" s="5">
        <f>COUNTIFS(D:D,AB8,G:G,AC8,J:J,AE$7)</f>
        <v>2</v>
      </c>
      <c r="AF8" s="5">
        <f>COUNTIFS(D:D,AB8,G:G,AC8,J:J,AF$7)</f>
        <v>0</v>
      </c>
      <c r="AG8" s="5">
        <f>COUNTIFS(D:D,AB8,G:G,AC8,J:J,AG$7)</f>
        <v>1</v>
      </c>
      <c r="AH8" s="8">
        <f>AE8*3+AF8</f>
        <v>6</v>
      </c>
      <c r="AI8" s="9">
        <f>AE8/AD8</f>
        <v>0.66666666666666663</v>
      </c>
      <c r="AJ8" s="22">
        <f>AH8/AD8</f>
        <v>2</v>
      </c>
      <c r="AN8" s="20"/>
      <c r="AO8" s="2"/>
      <c r="AP8" s="5"/>
      <c r="AQ8" s="6"/>
      <c r="AR8" s="7"/>
      <c r="AS8" s="8"/>
      <c r="AT8" s="11"/>
      <c r="AU8" s="22"/>
    </row>
    <row r="9" spans="1:47">
      <c r="A9" s="49">
        <v>45273</v>
      </c>
      <c r="B9" s="30">
        <v>6</v>
      </c>
      <c r="C9" s="30" t="s">
        <v>324</v>
      </c>
      <c r="D9" s="30" t="s">
        <v>49</v>
      </c>
      <c r="E9" s="30"/>
      <c r="F9" s="30"/>
      <c r="G9" s="30" t="s">
        <v>303</v>
      </c>
      <c r="H9" s="30"/>
      <c r="I9" s="30"/>
      <c r="J9" s="40"/>
      <c r="K9" s="53"/>
      <c r="L9" s="15"/>
      <c r="M9" s="15"/>
      <c r="N9" s="15"/>
      <c r="O9" s="54"/>
      <c r="P9" s="55"/>
      <c r="Q9" s="56"/>
      <c r="R9" s="56"/>
      <c r="S9" s="56"/>
      <c r="T9" s="54"/>
      <c r="W9" s="72" t="s">
        <v>111</v>
      </c>
      <c r="X9" s="81">
        <f t="shared" si="0"/>
        <v>1</v>
      </c>
      <c r="Y9" s="81">
        <f t="shared" si="1"/>
        <v>0</v>
      </c>
      <c r="Z9" s="51">
        <f t="shared" si="2"/>
        <v>1</v>
      </c>
      <c r="AB9" s="2" t="s">
        <v>45</v>
      </c>
      <c r="AC9" s="2" t="s">
        <v>252</v>
      </c>
      <c r="AD9" s="2">
        <f>SUM(AE9:AG9)</f>
        <v>1</v>
      </c>
      <c r="AE9" s="5">
        <f>COUNTIFS(D:D,AB9,G:G,AC9,J:J,AE$7)</f>
        <v>1</v>
      </c>
      <c r="AF9" s="5">
        <f>COUNTIFS(D:D,AB9,G:G,AC9,J:J,AF$7)</f>
        <v>0</v>
      </c>
      <c r="AG9" s="5">
        <f>COUNTIFS(D:D,AB9,G:G,AC9,J:J,AG$7)</f>
        <v>0</v>
      </c>
      <c r="AH9" s="8">
        <f>AE9*3+AF9</f>
        <v>3</v>
      </c>
      <c r="AI9" s="9">
        <f>AE9/AD9</f>
        <v>1</v>
      </c>
      <c r="AJ9" s="22">
        <f>AH9/AD9</f>
        <v>3</v>
      </c>
      <c r="AN9" s="20"/>
      <c r="AO9" s="2"/>
      <c r="AP9" s="5"/>
      <c r="AQ9" s="6"/>
      <c r="AR9" s="7"/>
      <c r="AS9" s="8"/>
      <c r="AT9" s="11"/>
      <c r="AU9" s="22"/>
    </row>
    <row r="10" spans="1:47">
      <c r="A10" s="49"/>
      <c r="B10" s="30"/>
      <c r="C10" s="30"/>
      <c r="D10" s="30"/>
      <c r="E10" s="30"/>
      <c r="F10" s="30"/>
      <c r="G10" s="30"/>
      <c r="H10" s="30"/>
      <c r="I10" s="30"/>
      <c r="J10" s="40"/>
      <c r="K10" s="53"/>
      <c r="L10" s="15"/>
      <c r="M10" s="15"/>
      <c r="N10" s="15"/>
      <c r="O10" s="54"/>
      <c r="P10" s="55"/>
      <c r="Q10" s="56"/>
      <c r="R10" s="56"/>
      <c r="S10" s="56"/>
      <c r="T10" s="54"/>
      <c r="W10" s="72" t="s">
        <v>156</v>
      </c>
      <c r="X10" s="81">
        <f t="shared" si="0"/>
        <v>0</v>
      </c>
      <c r="Y10" s="81">
        <f t="shared" si="1"/>
        <v>1</v>
      </c>
      <c r="Z10" s="51">
        <f t="shared" si="2"/>
        <v>1</v>
      </c>
      <c r="AB10" s="2"/>
      <c r="AC10" s="2"/>
      <c r="AD10" s="2"/>
      <c r="AE10" s="5"/>
      <c r="AF10" s="5"/>
      <c r="AG10" s="5"/>
      <c r="AH10" s="8"/>
      <c r="AI10" s="9"/>
      <c r="AJ10" s="22"/>
      <c r="AN10" s="20"/>
      <c r="AO10" s="2"/>
      <c r="AP10" s="5"/>
      <c r="AQ10" s="6"/>
      <c r="AR10" s="7"/>
      <c r="AS10" s="8"/>
      <c r="AT10" s="11"/>
      <c r="AU10" s="22"/>
    </row>
    <row r="11" spans="1:47">
      <c r="A11" s="49"/>
      <c r="B11" s="30"/>
      <c r="C11" s="30"/>
      <c r="D11" s="30"/>
      <c r="E11" s="30"/>
      <c r="F11" s="30"/>
      <c r="G11" s="30"/>
      <c r="H11" s="30"/>
      <c r="I11" s="30"/>
      <c r="J11" s="40"/>
      <c r="K11" s="53"/>
      <c r="L11" s="15"/>
      <c r="M11" s="15"/>
      <c r="N11" s="15"/>
      <c r="O11" s="54"/>
      <c r="P11" s="55"/>
      <c r="Q11" s="56"/>
      <c r="R11" s="56"/>
      <c r="S11" s="56"/>
      <c r="T11" s="54"/>
      <c r="W11" s="72" t="s">
        <v>307</v>
      </c>
      <c r="X11" s="81">
        <f t="shared" si="0"/>
        <v>0</v>
      </c>
      <c r="Y11" s="81">
        <f t="shared" si="1"/>
        <v>0</v>
      </c>
      <c r="Z11" s="51">
        <f t="shared" si="2"/>
        <v>0</v>
      </c>
      <c r="AB11" s="2"/>
      <c r="AC11" s="2"/>
      <c r="AD11" s="2"/>
      <c r="AE11" s="5"/>
      <c r="AF11" s="5"/>
      <c r="AG11" s="5"/>
      <c r="AH11" s="8"/>
      <c r="AI11" s="9"/>
      <c r="AJ11" s="22"/>
      <c r="AN11" s="20"/>
      <c r="AO11" s="2"/>
      <c r="AP11" s="5"/>
      <c r="AQ11" s="6"/>
      <c r="AR11" s="7"/>
      <c r="AS11" s="8"/>
      <c r="AT11" s="11"/>
      <c r="AU11" s="22"/>
    </row>
    <row r="12" spans="1:47">
      <c r="A12" s="49"/>
      <c r="B12" s="30"/>
      <c r="C12" s="30"/>
      <c r="D12" s="30"/>
      <c r="E12" s="30"/>
      <c r="F12" s="30"/>
      <c r="G12" s="30"/>
      <c r="H12" s="30"/>
      <c r="I12" s="30"/>
      <c r="J12" s="40"/>
      <c r="K12" s="53"/>
      <c r="L12" s="15"/>
      <c r="M12" s="15"/>
      <c r="N12" s="15"/>
      <c r="O12" s="54"/>
      <c r="P12" s="55"/>
      <c r="Q12" s="56"/>
      <c r="R12" s="56"/>
      <c r="S12" s="56"/>
      <c r="T12" s="54"/>
      <c r="W12" s="72" t="s">
        <v>54</v>
      </c>
      <c r="X12" s="81">
        <f t="shared" si="0"/>
        <v>0</v>
      </c>
      <c r="Y12" s="81">
        <f t="shared" si="1"/>
        <v>0</v>
      </c>
      <c r="Z12" s="51">
        <f t="shared" si="2"/>
        <v>0</v>
      </c>
      <c r="AB12" s="4" t="s">
        <v>7</v>
      </c>
      <c r="AC12" s="4" t="s">
        <v>11</v>
      </c>
      <c r="AD12" s="4" t="s">
        <v>30</v>
      </c>
      <c r="AE12" s="4" t="s">
        <v>31</v>
      </c>
      <c r="AF12" s="4" t="s">
        <v>32</v>
      </c>
      <c r="AG12" s="4" t="s">
        <v>33</v>
      </c>
      <c r="AH12" s="4" t="s">
        <v>34</v>
      </c>
      <c r="AI12" s="4" t="s">
        <v>35</v>
      </c>
      <c r="AJ12" s="4" t="s">
        <v>138</v>
      </c>
      <c r="AN12" s="20"/>
      <c r="AO12" s="2"/>
      <c r="AP12" s="5"/>
      <c r="AQ12" s="6"/>
      <c r="AR12" s="7"/>
      <c r="AS12" s="8"/>
      <c r="AT12" s="11"/>
      <c r="AU12" s="22"/>
    </row>
    <row r="13" spans="1:47">
      <c r="A13" s="49"/>
      <c r="B13" s="30"/>
      <c r="C13" s="30"/>
      <c r="D13" s="30"/>
      <c r="E13" s="30"/>
      <c r="F13" s="30"/>
      <c r="G13" s="30"/>
      <c r="H13" s="30"/>
      <c r="I13" s="30"/>
      <c r="J13" s="40"/>
      <c r="K13" s="53"/>
      <c r="L13" s="15"/>
      <c r="M13" s="15"/>
      <c r="N13" s="15"/>
      <c r="O13" s="54"/>
      <c r="P13" s="55"/>
      <c r="Q13" s="56"/>
      <c r="R13" s="56"/>
      <c r="S13" s="56"/>
      <c r="T13" s="54"/>
      <c r="W13" s="72" t="s">
        <v>269</v>
      </c>
      <c r="X13" s="81">
        <f t="shared" si="0"/>
        <v>0</v>
      </c>
      <c r="Y13" s="81">
        <f t="shared" si="1"/>
        <v>0</v>
      </c>
      <c r="Z13" s="51">
        <f t="shared" si="2"/>
        <v>0</v>
      </c>
      <c r="AB13" s="2" t="s">
        <v>49</v>
      </c>
      <c r="AC13" s="20" t="s">
        <v>303</v>
      </c>
      <c r="AD13" s="2">
        <f>SUM(AE13:AG13)</f>
        <v>2</v>
      </c>
      <c r="AE13" s="5">
        <f>COUNTIFS(D:D,AB13,G:G,AC13,J:J,AE$12)</f>
        <v>1</v>
      </c>
      <c r="AF13" s="5">
        <f>COUNTIFS(D:D,AB13,G:G,AC13,J:J,AF$12)</f>
        <v>0</v>
      </c>
      <c r="AG13" s="5">
        <f>COUNTIFS(D:D,AB13,G:G,AC13,J:J,AG$12)</f>
        <v>1</v>
      </c>
      <c r="AH13" s="8">
        <f>AE13*3+AF13</f>
        <v>3</v>
      </c>
      <c r="AI13" s="9">
        <f>AE13/AD13</f>
        <v>0.5</v>
      </c>
      <c r="AJ13" s="22">
        <f>AH13/AD13</f>
        <v>1.5</v>
      </c>
      <c r="AN13" s="20"/>
      <c r="AO13" s="2"/>
      <c r="AP13" s="5"/>
      <c r="AQ13" s="6"/>
      <c r="AR13" s="7"/>
      <c r="AS13" s="8"/>
      <c r="AT13" s="11"/>
      <c r="AU13" s="22"/>
    </row>
    <row r="14" spans="1:47">
      <c r="A14" s="50"/>
      <c r="B14" s="24"/>
      <c r="C14" s="24"/>
      <c r="D14" s="24"/>
      <c r="E14" s="24"/>
      <c r="F14" s="24"/>
      <c r="G14" s="24"/>
      <c r="H14" s="24"/>
      <c r="I14" s="24"/>
      <c r="J14" s="41"/>
      <c r="K14" s="57"/>
      <c r="L14" s="58"/>
      <c r="M14" s="58"/>
      <c r="N14" s="58"/>
      <c r="O14" s="59"/>
      <c r="P14" s="60"/>
      <c r="Q14" s="61"/>
      <c r="R14" s="61"/>
      <c r="S14" s="61"/>
      <c r="T14" s="59"/>
      <c r="W14" s="83" t="s">
        <v>261</v>
      </c>
      <c r="X14" s="81">
        <f t="shared" si="0"/>
        <v>0</v>
      </c>
      <c r="Y14" s="81">
        <f t="shared" si="1"/>
        <v>0</v>
      </c>
      <c r="Z14" s="51">
        <f t="shared" si="2"/>
        <v>0</v>
      </c>
      <c r="AB14" s="2" t="s">
        <v>49</v>
      </c>
      <c r="AC14" s="2" t="s">
        <v>252</v>
      </c>
      <c r="AD14" s="2">
        <f>SUM(AE14:AG14)</f>
        <v>0</v>
      </c>
      <c r="AE14" s="5">
        <f>COUNTIFS(D:D,AB14,G:G,AC14,J:J,AE$12)</f>
        <v>0</v>
      </c>
      <c r="AF14" s="5">
        <f>COUNTIFS(D:D,AB14,G:G,AC14,J:J,AF$12)</f>
        <v>0</v>
      </c>
      <c r="AG14" s="5">
        <f>COUNTIFS(D:D,AB14,G:G,AC14,J:J,AG$12)</f>
        <v>0</v>
      </c>
      <c r="AH14" s="8">
        <f>AE14*3+AF14</f>
        <v>0</v>
      </c>
      <c r="AI14" s="9"/>
      <c r="AJ14" s="22"/>
      <c r="AN14" s="4" t="s">
        <v>13</v>
      </c>
      <c r="AO14" s="4" t="s">
        <v>30</v>
      </c>
      <c r="AP14" s="4" t="s">
        <v>31</v>
      </c>
      <c r="AQ14" s="4" t="s">
        <v>32</v>
      </c>
      <c r="AR14" s="4" t="s">
        <v>33</v>
      </c>
      <c r="AS14" s="4" t="s">
        <v>34</v>
      </c>
      <c r="AT14" s="4" t="s">
        <v>35</v>
      </c>
      <c r="AU14" s="4" t="s">
        <v>138</v>
      </c>
    </row>
    <row r="15" spans="1:47">
      <c r="A15" s="50"/>
      <c r="B15" s="24"/>
      <c r="C15" s="24"/>
      <c r="D15" s="24"/>
      <c r="E15" s="24"/>
      <c r="F15" s="24"/>
      <c r="G15" s="24"/>
      <c r="H15" s="24"/>
      <c r="I15" s="24"/>
      <c r="J15" s="41"/>
      <c r="K15" s="57"/>
      <c r="L15" s="58"/>
      <c r="M15" s="58"/>
      <c r="N15" s="58"/>
      <c r="O15" s="59"/>
      <c r="P15" s="60"/>
      <c r="Q15" s="61"/>
      <c r="R15" s="61"/>
      <c r="S15" s="61"/>
      <c r="T15" s="59"/>
      <c r="W15" s="83" t="s">
        <v>264</v>
      </c>
      <c r="X15" s="81">
        <f t="shared" si="0"/>
        <v>0</v>
      </c>
      <c r="Y15" s="81">
        <f t="shared" si="1"/>
        <v>0</v>
      </c>
      <c r="Z15" s="51">
        <f t="shared" si="2"/>
        <v>0</v>
      </c>
      <c r="AB15" s="2"/>
      <c r="AC15" s="2"/>
      <c r="AD15" s="2"/>
      <c r="AE15" s="5"/>
      <c r="AF15" s="5"/>
      <c r="AG15" s="5"/>
      <c r="AH15" s="8"/>
      <c r="AI15" s="9"/>
      <c r="AJ15" s="22"/>
      <c r="AN15" s="2" t="s">
        <v>317</v>
      </c>
      <c r="AO15" s="2">
        <f>SUM(AP15:AR15)</f>
        <v>1</v>
      </c>
      <c r="AP15" s="5">
        <f>COUNTIFS(I:I,AN15,J:J,AP$14)</f>
        <v>0</v>
      </c>
      <c r="AQ15" s="6">
        <f>COUNTIFS(I:I,AN15,J:J,AQ$14)</f>
        <v>0</v>
      </c>
      <c r="AR15" s="7">
        <f>COUNTIFS(I:I,AN15,J:J,AR$14)</f>
        <v>1</v>
      </c>
      <c r="AS15" s="8">
        <f>AP15*3+AQ15</f>
        <v>0</v>
      </c>
      <c r="AT15" s="11">
        <f>AP15/AO15</f>
        <v>0</v>
      </c>
      <c r="AU15" s="22">
        <f>AS15/AO15</f>
        <v>0</v>
      </c>
    </row>
    <row r="16" spans="1:47">
      <c r="A16" s="50"/>
      <c r="B16" s="24"/>
      <c r="C16" s="24"/>
      <c r="D16" s="24"/>
      <c r="E16" s="24"/>
      <c r="F16" s="24"/>
      <c r="G16" s="24"/>
      <c r="H16" s="24"/>
      <c r="I16" s="24"/>
      <c r="J16" s="41"/>
      <c r="K16" s="57"/>
      <c r="L16" s="58"/>
      <c r="M16" s="58"/>
      <c r="N16" s="58"/>
      <c r="O16" s="59"/>
      <c r="P16" s="60"/>
      <c r="Q16" s="61"/>
      <c r="R16" s="61"/>
      <c r="S16" s="61"/>
      <c r="T16" s="59"/>
      <c r="W16" s="70" t="s">
        <v>73</v>
      </c>
      <c r="X16" s="81">
        <f t="shared" si="0"/>
        <v>0</v>
      </c>
      <c r="Y16" s="81">
        <f t="shared" si="1"/>
        <v>0</v>
      </c>
      <c r="Z16" s="51">
        <f t="shared" si="2"/>
        <v>0</v>
      </c>
      <c r="AB16" s="89"/>
      <c r="AC16" s="89"/>
      <c r="AD16" s="89"/>
      <c r="AE16" s="89"/>
      <c r="AF16" s="89"/>
      <c r="AG16" s="89"/>
      <c r="AH16" s="89"/>
      <c r="AI16" s="89"/>
      <c r="AJ16" s="89"/>
      <c r="AN16" s="2" t="s">
        <v>305</v>
      </c>
      <c r="AO16" s="2">
        <f>SUM(AP16:AR16)</f>
        <v>3</v>
      </c>
      <c r="AP16" s="5">
        <f>COUNTIFS(I:I,AN16,J:J,AP$14)</f>
        <v>2</v>
      </c>
      <c r="AQ16" s="6">
        <f>COUNTIFS(I:I,AN16,J:J,AQ$14)</f>
        <v>0</v>
      </c>
      <c r="AR16" s="7">
        <f>COUNTIFS(I:I,AN16,J:J,AR$14)</f>
        <v>1</v>
      </c>
      <c r="AS16" s="8">
        <f>AP16*3+AQ16</f>
        <v>6</v>
      </c>
      <c r="AT16" s="11">
        <f>AP16/AO16</f>
        <v>0.66666666666666663</v>
      </c>
      <c r="AU16" s="22">
        <f>AS16/AO16</f>
        <v>2</v>
      </c>
    </row>
    <row r="17" spans="1:47">
      <c r="A17" s="50"/>
      <c r="B17" s="24"/>
      <c r="C17" s="24"/>
      <c r="D17" s="24"/>
      <c r="E17" s="24"/>
      <c r="F17" s="24"/>
      <c r="G17" s="24"/>
      <c r="H17" s="24"/>
      <c r="I17" s="24"/>
      <c r="J17" s="41"/>
      <c r="K17" s="57"/>
      <c r="L17" s="58"/>
      <c r="M17" s="58"/>
      <c r="N17" s="58"/>
      <c r="O17" s="59"/>
      <c r="P17" s="60"/>
      <c r="Q17" s="61"/>
      <c r="R17" s="61"/>
      <c r="S17" s="61"/>
      <c r="T17" s="59"/>
      <c r="W17" s="70" t="s">
        <v>170</v>
      </c>
      <c r="X17" s="81">
        <f t="shared" si="0"/>
        <v>1</v>
      </c>
      <c r="Y17" s="81">
        <f t="shared" si="1"/>
        <v>1</v>
      </c>
      <c r="Z17" s="51">
        <f t="shared" si="2"/>
        <v>2</v>
      </c>
      <c r="AB17" s="1"/>
      <c r="AC17" s="1"/>
      <c r="AD17" s="1"/>
      <c r="AE17" s="85"/>
      <c r="AF17" s="85"/>
      <c r="AG17" s="85"/>
      <c r="AH17" s="1"/>
      <c r="AI17" s="86"/>
      <c r="AJ17" s="87"/>
      <c r="AN17" s="2" t="s">
        <v>254</v>
      </c>
      <c r="AO17" s="2">
        <f>SUM(AP17:AR17)</f>
        <v>1</v>
      </c>
      <c r="AP17" s="5">
        <f>COUNTIFS(I:I,AN17,J:J,AP14)</f>
        <v>1</v>
      </c>
      <c r="AQ17" s="6">
        <f>COUNTIFS(I:I,AN17,J:J,AQ14)</f>
        <v>0</v>
      </c>
      <c r="AR17" s="7">
        <f>COUNTIFS(I:I,AN17,J:J,AR14)</f>
        <v>0</v>
      </c>
      <c r="AS17" s="8">
        <f>AP17*3+AQ17</f>
        <v>3</v>
      </c>
      <c r="AT17" s="11">
        <f>AP17/AO17</f>
        <v>1</v>
      </c>
      <c r="AU17" s="22">
        <f>AS17/AO17</f>
        <v>3</v>
      </c>
    </row>
    <row r="18" spans="1:47">
      <c r="A18" s="50"/>
      <c r="B18" s="24"/>
      <c r="C18" s="24"/>
      <c r="D18" s="24"/>
      <c r="E18" s="24"/>
      <c r="F18" s="24"/>
      <c r="G18" s="24"/>
      <c r="H18" s="24"/>
      <c r="I18" s="24"/>
      <c r="J18" s="41"/>
      <c r="K18" s="57"/>
      <c r="L18" s="58"/>
      <c r="M18" s="58"/>
      <c r="N18" s="58"/>
      <c r="O18" s="59"/>
      <c r="P18" s="60"/>
      <c r="Q18" s="61"/>
      <c r="R18" s="61"/>
      <c r="S18" s="61"/>
      <c r="T18" s="59"/>
      <c r="W18" s="70" t="s">
        <v>93</v>
      </c>
      <c r="X18" s="81">
        <f t="shared" si="0"/>
        <v>0</v>
      </c>
      <c r="Y18" s="81">
        <f t="shared" si="1"/>
        <v>0</v>
      </c>
      <c r="Z18" s="51">
        <f t="shared" si="2"/>
        <v>0</v>
      </c>
      <c r="AB18" s="1"/>
      <c r="AC18" s="1"/>
      <c r="AD18" s="1"/>
      <c r="AE18" s="85"/>
      <c r="AF18" s="85"/>
      <c r="AG18" s="85"/>
      <c r="AH18" s="1"/>
      <c r="AI18" s="86"/>
      <c r="AJ18" s="87"/>
      <c r="AN18" s="2"/>
      <c r="AO18" s="2"/>
      <c r="AP18" s="5"/>
      <c r="AQ18" s="6"/>
      <c r="AR18" s="7"/>
      <c r="AS18" s="8"/>
      <c r="AT18" s="11"/>
      <c r="AU18" s="22"/>
    </row>
    <row r="19" spans="1:47">
      <c r="A19" s="50"/>
      <c r="B19" s="24"/>
      <c r="C19" s="24"/>
      <c r="D19" s="24"/>
      <c r="E19" s="24"/>
      <c r="F19" s="24"/>
      <c r="G19" s="24"/>
      <c r="H19" s="24"/>
      <c r="I19" s="24"/>
      <c r="J19" s="41"/>
      <c r="K19" s="57"/>
      <c r="L19" s="58"/>
      <c r="M19" s="58"/>
      <c r="N19" s="58"/>
      <c r="O19" s="59"/>
      <c r="P19" s="60"/>
      <c r="Q19" s="61"/>
      <c r="R19" s="61"/>
      <c r="S19" s="61"/>
      <c r="T19" s="59"/>
      <c r="W19" s="70" t="s">
        <v>171</v>
      </c>
      <c r="X19" s="81">
        <f t="shared" si="0"/>
        <v>0</v>
      </c>
      <c r="Y19" s="81">
        <f t="shared" si="1"/>
        <v>0</v>
      </c>
      <c r="Z19" s="51">
        <f t="shared" si="2"/>
        <v>0</v>
      </c>
      <c r="AB19" s="1"/>
      <c r="AC19" s="1"/>
      <c r="AD19" s="1"/>
      <c r="AE19" s="85"/>
      <c r="AF19" s="85"/>
      <c r="AG19" s="85"/>
      <c r="AH19" s="1"/>
      <c r="AI19" s="86"/>
      <c r="AJ19" s="87"/>
      <c r="AN19" s="20"/>
      <c r="AO19" s="20"/>
      <c r="AP19" s="5"/>
      <c r="AQ19" s="6"/>
      <c r="AR19" s="7"/>
      <c r="AS19" s="26"/>
      <c r="AT19" s="11"/>
      <c r="AU19" s="25"/>
    </row>
    <row r="20" spans="1:47">
      <c r="A20" s="50"/>
      <c r="B20" s="24"/>
      <c r="C20" s="24"/>
      <c r="D20" s="24"/>
      <c r="E20" s="24"/>
      <c r="F20" s="24"/>
      <c r="G20" s="24"/>
      <c r="H20" s="24"/>
      <c r="I20" s="24"/>
      <c r="J20" s="41"/>
      <c r="K20" s="57"/>
      <c r="L20" s="58"/>
      <c r="M20" s="58"/>
      <c r="N20" s="58"/>
      <c r="O20" s="59"/>
      <c r="P20" s="60"/>
      <c r="Q20" s="61"/>
      <c r="R20" s="61"/>
      <c r="S20" s="61"/>
      <c r="T20" s="59"/>
      <c r="W20" s="70" t="s">
        <v>313</v>
      </c>
      <c r="X20" s="81">
        <f t="shared" si="0"/>
        <v>0</v>
      </c>
      <c r="Y20" s="81">
        <f t="shared" si="1"/>
        <v>0</v>
      </c>
      <c r="Z20" s="51">
        <f t="shared" si="2"/>
        <v>0</v>
      </c>
      <c r="AB20" s="1"/>
      <c r="AC20" s="1"/>
      <c r="AD20" s="1"/>
      <c r="AE20" s="85"/>
      <c r="AF20" s="85"/>
      <c r="AG20" s="85"/>
      <c r="AH20" s="1"/>
      <c r="AI20" s="86"/>
      <c r="AJ20" s="87"/>
      <c r="AN20" s="20"/>
      <c r="AO20" s="20"/>
      <c r="AP20" s="5"/>
      <c r="AQ20" s="6"/>
      <c r="AR20" s="7"/>
      <c r="AS20" s="26"/>
      <c r="AT20" s="11"/>
      <c r="AU20" s="25"/>
    </row>
    <row r="21" spans="1:47">
      <c r="A21" s="50"/>
      <c r="B21" s="24"/>
      <c r="C21" s="24"/>
      <c r="D21" s="24"/>
      <c r="E21" s="24"/>
      <c r="F21" s="24"/>
      <c r="G21" s="24"/>
      <c r="H21" s="24"/>
      <c r="I21" s="24"/>
      <c r="J21" s="41"/>
      <c r="K21" s="57"/>
      <c r="L21" s="58"/>
      <c r="M21" s="58"/>
      <c r="N21" s="58"/>
      <c r="O21" s="59"/>
      <c r="P21" s="60"/>
      <c r="Q21" s="61"/>
      <c r="R21" s="61"/>
      <c r="S21" s="61"/>
      <c r="T21" s="59"/>
      <c r="W21" s="70" t="s">
        <v>172</v>
      </c>
      <c r="X21" s="81">
        <f t="shared" si="0"/>
        <v>0</v>
      </c>
      <c r="Y21" s="81">
        <f t="shared" si="1"/>
        <v>0</v>
      </c>
      <c r="Z21" s="51">
        <f t="shared" si="2"/>
        <v>0</v>
      </c>
      <c r="AB21" s="1"/>
      <c r="AC21" s="88"/>
      <c r="AD21" s="1"/>
      <c r="AE21" s="85"/>
      <c r="AF21" s="85"/>
      <c r="AG21" s="85"/>
      <c r="AH21" s="1"/>
      <c r="AI21" s="86"/>
      <c r="AJ21" s="87"/>
      <c r="AN21" s="20"/>
      <c r="AO21" s="20"/>
      <c r="AP21" s="5"/>
      <c r="AQ21" s="6"/>
      <c r="AR21" s="7"/>
      <c r="AS21" s="26"/>
      <c r="AT21" s="11"/>
      <c r="AU21" s="25"/>
    </row>
    <row r="22" spans="1:47">
      <c r="A22" s="50"/>
      <c r="B22" s="24"/>
      <c r="C22" s="24"/>
      <c r="D22" s="24"/>
      <c r="E22" s="24"/>
      <c r="F22" s="24"/>
      <c r="G22" s="24"/>
      <c r="H22" s="24"/>
      <c r="I22" s="24"/>
      <c r="J22" s="41"/>
      <c r="K22" s="57"/>
      <c r="L22" s="58"/>
      <c r="M22" s="58"/>
      <c r="N22" s="58"/>
      <c r="O22" s="59"/>
      <c r="P22" s="60"/>
      <c r="Q22" s="61"/>
      <c r="R22" s="61"/>
      <c r="S22" s="61"/>
      <c r="T22" s="59"/>
      <c r="W22" s="70" t="s">
        <v>182</v>
      </c>
      <c r="X22" s="81">
        <f t="shared" si="0"/>
        <v>0</v>
      </c>
      <c r="Y22" s="81">
        <f t="shared" si="1"/>
        <v>0</v>
      </c>
      <c r="Z22" s="51">
        <f t="shared" si="2"/>
        <v>0</v>
      </c>
      <c r="AN22" s="20"/>
      <c r="AO22" s="20"/>
      <c r="AP22" s="5"/>
      <c r="AQ22" s="6"/>
      <c r="AR22" s="7"/>
      <c r="AS22" s="26"/>
      <c r="AT22" s="11"/>
      <c r="AU22" s="25"/>
    </row>
    <row r="23" spans="1:47">
      <c r="A23" s="50"/>
      <c r="B23" s="24"/>
      <c r="C23" s="24"/>
      <c r="D23" s="24"/>
      <c r="E23" s="24"/>
      <c r="F23" s="24"/>
      <c r="G23" s="24"/>
      <c r="H23" s="24"/>
      <c r="I23" s="24"/>
      <c r="J23" s="41"/>
      <c r="K23" s="57"/>
      <c r="L23" s="80"/>
      <c r="M23" s="58"/>
      <c r="N23" s="58"/>
      <c r="O23" s="59"/>
      <c r="P23" s="60"/>
      <c r="Q23" s="61"/>
      <c r="R23" s="61"/>
      <c r="S23" s="61"/>
      <c r="T23" s="59"/>
      <c r="W23" s="70" t="s">
        <v>183</v>
      </c>
      <c r="X23" s="81">
        <f t="shared" si="0"/>
        <v>0</v>
      </c>
      <c r="Y23" s="81">
        <f t="shared" si="1"/>
        <v>0</v>
      </c>
      <c r="Z23" s="51">
        <f t="shared" si="2"/>
        <v>0</v>
      </c>
      <c r="AN23" s="20"/>
      <c r="AO23" s="20"/>
      <c r="AP23" s="5"/>
      <c r="AQ23" s="6"/>
      <c r="AR23" s="7"/>
      <c r="AS23" s="26"/>
      <c r="AT23" s="11"/>
      <c r="AU23" s="25"/>
    </row>
    <row r="24" spans="1:47">
      <c r="A24" s="50"/>
      <c r="B24" s="24"/>
      <c r="C24" s="24"/>
      <c r="D24" s="24"/>
      <c r="E24" s="24"/>
      <c r="F24" s="24"/>
      <c r="G24" s="24"/>
      <c r="H24" s="24"/>
      <c r="I24" s="24"/>
      <c r="J24" s="41"/>
      <c r="K24" s="57"/>
      <c r="L24" s="58"/>
      <c r="M24" s="58"/>
      <c r="N24" s="58"/>
      <c r="O24" s="59"/>
      <c r="P24" s="60"/>
      <c r="Q24" s="61"/>
      <c r="R24" s="61"/>
      <c r="S24" s="61"/>
      <c r="T24" s="59"/>
      <c r="W24" s="70" t="s">
        <v>281</v>
      </c>
      <c r="X24" s="81">
        <f t="shared" si="0"/>
        <v>0</v>
      </c>
      <c r="Y24" s="81">
        <f t="shared" si="1"/>
        <v>0</v>
      </c>
      <c r="Z24" s="51">
        <f t="shared" si="2"/>
        <v>0</v>
      </c>
    </row>
    <row r="25" spans="1:47">
      <c r="A25" s="49"/>
      <c r="B25" s="30"/>
      <c r="C25" s="30"/>
      <c r="D25" s="30"/>
      <c r="E25" s="30"/>
      <c r="F25" s="30"/>
      <c r="G25" s="30"/>
      <c r="H25" s="30"/>
      <c r="I25" s="30"/>
      <c r="J25" s="40"/>
      <c r="K25" s="53"/>
      <c r="L25" s="15"/>
      <c r="M25" s="15"/>
      <c r="N25" s="15"/>
      <c r="O25" s="54"/>
      <c r="P25" s="55"/>
      <c r="Q25" s="56"/>
      <c r="R25" s="56"/>
      <c r="S25" s="56"/>
      <c r="T25" s="54"/>
      <c r="W25" s="70" t="s">
        <v>279</v>
      </c>
      <c r="X25" s="81">
        <f t="shared" si="0"/>
        <v>0</v>
      </c>
      <c r="Y25" s="81">
        <f t="shared" si="1"/>
        <v>0</v>
      </c>
      <c r="Z25" s="51">
        <f t="shared" si="2"/>
        <v>0</v>
      </c>
      <c r="AC25" s="4" t="s">
        <v>7</v>
      </c>
      <c r="AD25" s="4" t="s">
        <v>30</v>
      </c>
      <c r="AE25" s="4" t="s">
        <v>31</v>
      </c>
      <c r="AF25" s="4" t="s">
        <v>32</v>
      </c>
      <c r="AG25" s="4" t="s">
        <v>33</v>
      </c>
      <c r="AH25" s="4" t="s">
        <v>34</v>
      </c>
      <c r="AI25" s="4" t="s">
        <v>35</v>
      </c>
      <c r="AJ25" s="4" t="s">
        <v>8</v>
      </c>
      <c r="AK25" s="4" t="s">
        <v>9</v>
      </c>
      <c r="AL25" s="4" t="s">
        <v>36</v>
      </c>
      <c r="AM25" s="4" t="s">
        <v>37</v>
      </c>
      <c r="AN25" s="4" t="s">
        <v>38</v>
      </c>
      <c r="AO25" s="4" t="s">
        <v>39</v>
      </c>
    </row>
    <row r="26" spans="1:47">
      <c r="A26" s="49"/>
      <c r="B26" s="30"/>
      <c r="C26" s="30"/>
      <c r="D26" s="30"/>
      <c r="E26" s="30"/>
      <c r="F26" s="30"/>
      <c r="G26" s="30"/>
      <c r="H26" s="30"/>
      <c r="I26" s="30"/>
      <c r="J26" s="40"/>
      <c r="K26" s="53"/>
      <c r="L26" s="15"/>
      <c r="M26" s="15"/>
      <c r="N26" s="15"/>
      <c r="O26" s="54"/>
      <c r="P26" s="55"/>
      <c r="Q26" s="56"/>
      <c r="R26" s="56"/>
      <c r="S26" s="56"/>
      <c r="T26" s="54"/>
      <c r="W26" s="70" t="s">
        <v>112</v>
      </c>
      <c r="X26" s="81">
        <f t="shared" si="0"/>
        <v>0</v>
      </c>
      <c r="Y26" s="81">
        <f t="shared" si="1"/>
        <v>1</v>
      </c>
      <c r="Z26" s="51">
        <f t="shared" si="2"/>
        <v>1</v>
      </c>
      <c r="AC26" s="2" t="s">
        <v>45</v>
      </c>
      <c r="AD26" s="2">
        <f>SUM(AE26:AG26)</f>
        <v>4</v>
      </c>
      <c r="AE26" s="5">
        <f>COUNTIFS(D:D,AC26,J:J,AE25)</f>
        <v>3</v>
      </c>
      <c r="AF26" s="6">
        <f>COUNTIFS(D:D,AC26,J:J,AF25)</f>
        <v>0</v>
      </c>
      <c r="AG26" s="7">
        <f>COUNTIFS(D:D,AC26,J:J,AG25)</f>
        <v>1</v>
      </c>
      <c r="AH26" s="26">
        <f>AE26*3+AF26</f>
        <v>9</v>
      </c>
      <c r="AI26" s="10">
        <f>AE26/AD26</f>
        <v>0.75</v>
      </c>
      <c r="AJ26" s="2">
        <f>SUMIF(D:D,AC26,E:E)</f>
        <v>9</v>
      </c>
      <c r="AK26" s="2">
        <f>SUMIF(D:D,AC26,F:F)</f>
        <v>4</v>
      </c>
      <c r="AL26" s="2">
        <f>AJ26-AK26</f>
        <v>5</v>
      </c>
      <c r="AM26" s="22">
        <f>AH26/AD26</f>
        <v>2.25</v>
      </c>
      <c r="AN26" s="22">
        <f>AJ26/AD26</f>
        <v>2.25</v>
      </c>
      <c r="AO26" s="22">
        <f>AK26/AD26</f>
        <v>1</v>
      </c>
    </row>
    <row r="27" spans="1:47">
      <c r="A27" s="49"/>
      <c r="B27" s="30"/>
      <c r="C27" s="30"/>
      <c r="D27" s="30"/>
      <c r="E27" s="30"/>
      <c r="F27" s="30"/>
      <c r="G27" s="30"/>
      <c r="H27" s="30"/>
      <c r="I27" s="30"/>
      <c r="J27" s="40"/>
      <c r="K27" s="53"/>
      <c r="L27" s="15"/>
      <c r="M27" s="15"/>
      <c r="N27" s="15"/>
      <c r="O27" s="54"/>
      <c r="P27" s="55"/>
      <c r="Q27" s="56"/>
      <c r="R27" s="56"/>
      <c r="S27" s="56"/>
      <c r="T27" s="54"/>
      <c r="W27" s="70" t="s">
        <v>268</v>
      </c>
      <c r="X27" s="81">
        <f t="shared" si="0"/>
        <v>0</v>
      </c>
      <c r="Y27" s="81">
        <f t="shared" si="1"/>
        <v>0</v>
      </c>
      <c r="Z27" s="51">
        <f t="shared" si="2"/>
        <v>0</v>
      </c>
      <c r="AC27" s="2" t="s">
        <v>49</v>
      </c>
      <c r="AD27" s="2">
        <f>SUM(AE27:AG27)</f>
        <v>2</v>
      </c>
      <c r="AE27" s="5">
        <f>COUNTIFS(D:D,AC27,J:J,AE25)</f>
        <v>1</v>
      </c>
      <c r="AF27" s="6">
        <f>COUNTIFS(D:D,AC27,J:J,AF25)</f>
        <v>0</v>
      </c>
      <c r="AG27" s="7">
        <f>COUNTIFS(D:D,AC27,J:J,AG25)</f>
        <v>1</v>
      </c>
      <c r="AH27" s="26">
        <f>AE27*3+AF27</f>
        <v>3</v>
      </c>
      <c r="AI27" s="23">
        <f>AE27/AD27</f>
        <v>0.5</v>
      </c>
      <c r="AJ27" s="2">
        <f>SUMIF(D:D,AC27,E:E)</f>
        <v>5</v>
      </c>
      <c r="AK27" s="2">
        <f>SUMIF(D:D,AC27,F:F)</f>
        <v>5</v>
      </c>
      <c r="AL27" s="2">
        <f>AJ27-AK27</f>
        <v>0</v>
      </c>
      <c r="AM27" s="22">
        <f>AH27/AD27</f>
        <v>1.5</v>
      </c>
      <c r="AN27" s="22">
        <f>AJ27/AD27</f>
        <v>2.5</v>
      </c>
      <c r="AO27" s="22">
        <f>AK27/AD27</f>
        <v>2.5</v>
      </c>
    </row>
    <row r="28" spans="1:47">
      <c r="A28" s="49"/>
      <c r="B28" s="30"/>
      <c r="C28" s="30"/>
      <c r="D28" s="30"/>
      <c r="E28" s="30"/>
      <c r="F28" s="30"/>
      <c r="G28" s="30"/>
      <c r="H28" s="30"/>
      <c r="I28" s="30"/>
      <c r="J28" s="40"/>
      <c r="K28" s="53"/>
      <c r="L28" s="15"/>
      <c r="M28" s="15"/>
      <c r="N28" s="15"/>
      <c r="O28" s="54"/>
      <c r="P28" s="55"/>
      <c r="Q28" s="56"/>
      <c r="R28" s="56"/>
      <c r="S28" s="56"/>
      <c r="T28" s="54"/>
      <c r="W28" s="70" t="s">
        <v>220</v>
      </c>
      <c r="X28" s="81">
        <f t="shared" si="0"/>
        <v>0</v>
      </c>
      <c r="Y28" s="81">
        <f t="shared" si="1"/>
        <v>0</v>
      </c>
      <c r="Z28" s="51">
        <f t="shared" si="2"/>
        <v>0</v>
      </c>
      <c r="AC28" s="13" t="s">
        <v>60</v>
      </c>
      <c r="AD28" s="13">
        <f>SUM(AD26:AD27)</f>
        <v>6</v>
      </c>
      <c r="AE28" s="13">
        <f>SUM(AE26:AE27)</f>
        <v>4</v>
      </c>
      <c r="AF28" s="13">
        <f>SUM(AF26:AF27)</f>
        <v>0</v>
      </c>
      <c r="AG28" s="13">
        <f>SUM(AG26:AG27)</f>
        <v>2</v>
      </c>
      <c r="AH28" s="13">
        <f>SUM(AH26:AH27)</f>
        <v>12</v>
      </c>
      <c r="AI28" s="14">
        <f>AE28/AD28</f>
        <v>0.66666666666666663</v>
      </c>
      <c r="AJ28" s="13">
        <f>SUM(AJ26:AJ27)</f>
        <v>14</v>
      </c>
      <c r="AK28" s="13">
        <f>SUM(AK26:AK27)</f>
        <v>9</v>
      </c>
      <c r="AL28" s="13">
        <f>SUM(AL26:AL27)</f>
        <v>5</v>
      </c>
      <c r="AM28" s="32">
        <f>AH28/AD28</f>
        <v>2</v>
      </c>
      <c r="AN28" s="32">
        <f>AJ28/AD28</f>
        <v>2.3333333333333335</v>
      </c>
      <c r="AO28" s="32">
        <f>AK28/AD28</f>
        <v>1.5</v>
      </c>
    </row>
    <row r="29" spans="1:47">
      <c r="A29" s="49"/>
      <c r="B29" s="30"/>
      <c r="C29" s="30"/>
      <c r="D29" s="30"/>
      <c r="E29" s="30"/>
      <c r="F29" s="30"/>
      <c r="G29" s="30"/>
      <c r="H29" s="30"/>
      <c r="I29" s="30"/>
      <c r="J29" s="40"/>
      <c r="K29" s="53"/>
      <c r="L29" s="15"/>
      <c r="M29" s="15"/>
      <c r="N29" s="15"/>
      <c r="O29" s="54"/>
      <c r="P29" s="55"/>
      <c r="Q29" s="56"/>
      <c r="R29" s="56"/>
      <c r="S29" s="56"/>
      <c r="T29" s="54"/>
      <c r="W29" s="84" t="s">
        <v>318</v>
      </c>
      <c r="X29" s="81">
        <f t="shared" si="0"/>
        <v>0</v>
      </c>
      <c r="Y29" s="81">
        <f t="shared" si="1"/>
        <v>0</v>
      </c>
      <c r="Z29" s="51">
        <f t="shared" si="2"/>
        <v>0</v>
      </c>
      <c r="AC29" s="4" t="s">
        <v>66</v>
      </c>
      <c r="AD29" s="4" t="s">
        <v>30</v>
      </c>
      <c r="AE29" s="4" t="s">
        <v>31</v>
      </c>
      <c r="AF29" s="4" t="s">
        <v>32</v>
      </c>
      <c r="AG29" s="4" t="s">
        <v>33</v>
      </c>
      <c r="AH29" s="4" t="s">
        <v>34</v>
      </c>
      <c r="AI29" s="4" t="s">
        <v>35</v>
      </c>
      <c r="AJ29" s="4" t="s">
        <v>8</v>
      </c>
      <c r="AK29" s="4" t="s">
        <v>9</v>
      </c>
      <c r="AL29" s="4" t="s">
        <v>36</v>
      </c>
    </row>
    <row r="30" spans="1:47">
      <c r="A30" s="49"/>
      <c r="B30" s="30"/>
      <c r="C30" s="30"/>
      <c r="D30" s="30"/>
      <c r="E30" s="30"/>
      <c r="F30" s="30"/>
      <c r="G30" s="30"/>
      <c r="H30" s="30"/>
      <c r="I30" s="30"/>
      <c r="J30" s="40"/>
      <c r="K30" s="53"/>
      <c r="L30" s="15"/>
      <c r="M30" s="15"/>
      <c r="N30" s="15"/>
      <c r="O30" s="54"/>
      <c r="P30" s="55"/>
      <c r="Q30" s="56"/>
      <c r="R30" s="56"/>
      <c r="S30" s="56"/>
      <c r="T30" s="54"/>
      <c r="W30" s="71" t="s">
        <v>177</v>
      </c>
      <c r="X30" s="81">
        <f t="shared" si="0"/>
        <v>0</v>
      </c>
      <c r="Y30" s="81">
        <f t="shared" si="1"/>
        <v>0</v>
      </c>
      <c r="Z30" s="51">
        <f t="shared" si="2"/>
        <v>0</v>
      </c>
      <c r="AC30" s="2" t="s">
        <v>321</v>
      </c>
      <c r="AD30" s="2">
        <f>SUM(AE30:AG30)</f>
        <v>1</v>
      </c>
      <c r="AE30" s="5">
        <f>COUNTIFS(C:C,AC30,J:J,"승")</f>
        <v>1</v>
      </c>
      <c r="AF30" s="6">
        <f>COUNTIFS(C:C,AC30,J:J,"무")</f>
        <v>0</v>
      </c>
      <c r="AG30" s="7">
        <f>COUNTIFS(C:C,AC30,J:J,"패")</f>
        <v>0</v>
      </c>
      <c r="AH30" s="26">
        <f>AE30*3+AF30</f>
        <v>3</v>
      </c>
      <c r="AI30" s="23">
        <f>AE30/AD30</f>
        <v>1</v>
      </c>
      <c r="AJ30" s="2">
        <f>SUMIF(C:C,AC30,E:E)</f>
        <v>3</v>
      </c>
      <c r="AK30" s="2">
        <f>SUMIF(C:C,AC30,F:F)</f>
        <v>1</v>
      </c>
      <c r="AL30" s="2">
        <f>AJ30-AK30</f>
        <v>2</v>
      </c>
    </row>
    <row r="31" spans="1:47">
      <c r="A31" s="49"/>
      <c r="B31" s="30"/>
      <c r="C31" s="30"/>
      <c r="D31" s="30"/>
      <c r="E31" s="30"/>
      <c r="F31" s="30"/>
      <c r="G31" s="30"/>
      <c r="H31" s="30"/>
      <c r="I31" s="30"/>
      <c r="J31" s="40"/>
      <c r="K31" s="53"/>
      <c r="L31" s="15"/>
      <c r="M31" s="15"/>
      <c r="N31" s="15"/>
      <c r="O31" s="54"/>
      <c r="P31" s="55"/>
      <c r="Q31" s="56"/>
      <c r="R31" s="56"/>
      <c r="S31" s="56"/>
      <c r="T31" s="54"/>
      <c r="W31" s="71" t="s">
        <v>278</v>
      </c>
      <c r="X31" s="81">
        <f t="shared" si="0"/>
        <v>0</v>
      </c>
      <c r="Y31" s="81">
        <f t="shared" si="1"/>
        <v>0</v>
      </c>
      <c r="Z31" s="51">
        <f t="shared" si="2"/>
        <v>0</v>
      </c>
      <c r="AC31" s="2" t="s">
        <v>323</v>
      </c>
      <c r="AD31" s="2">
        <f>SUM(AE31:AG31)</f>
        <v>2</v>
      </c>
      <c r="AE31" s="5">
        <f>COUNTIFS(C:C,AC31,J:J,"승")</f>
        <v>2</v>
      </c>
      <c r="AF31" s="6">
        <f>COUNTIFS(C:C,AC31,J:J,"무")</f>
        <v>0</v>
      </c>
      <c r="AG31" s="7">
        <f>COUNTIFS(C:C,AC31,J:J,"패")</f>
        <v>0</v>
      </c>
      <c r="AH31" s="26">
        <f>AE31*3+AF31</f>
        <v>6</v>
      </c>
      <c r="AI31" s="23">
        <f>AE31/AD31</f>
        <v>1</v>
      </c>
      <c r="AJ31" s="2">
        <f>SUMIF(C:C,AC31,E:E)</f>
        <v>6</v>
      </c>
      <c r="AK31" s="2">
        <f>SUMIF(C:C,AC31,F:F)</f>
        <v>3</v>
      </c>
      <c r="AL31" s="2">
        <f>AJ31-AK31</f>
        <v>3</v>
      </c>
    </row>
    <row r="32" spans="1:47">
      <c r="A32" s="49"/>
      <c r="B32" s="30"/>
      <c r="C32" s="30"/>
      <c r="D32" s="30"/>
      <c r="E32" s="30"/>
      <c r="F32" s="30"/>
      <c r="G32" s="30"/>
      <c r="H32" s="30"/>
      <c r="I32" s="30"/>
      <c r="J32" s="40"/>
      <c r="K32" s="53"/>
      <c r="L32" s="15"/>
      <c r="M32" s="15"/>
      <c r="N32" s="15"/>
      <c r="O32" s="54"/>
      <c r="P32" s="55"/>
      <c r="Q32" s="56"/>
      <c r="R32" s="56"/>
      <c r="S32" s="56"/>
      <c r="T32" s="54"/>
      <c r="W32" s="71" t="s">
        <v>189</v>
      </c>
      <c r="X32" s="81">
        <f t="shared" si="0"/>
        <v>0</v>
      </c>
      <c r="Y32" s="81">
        <f t="shared" si="1"/>
        <v>0</v>
      </c>
      <c r="Z32" s="51">
        <f t="shared" si="2"/>
        <v>0</v>
      </c>
      <c r="AC32" s="2" t="s">
        <v>325</v>
      </c>
      <c r="AD32" s="2">
        <f>SUM(AE32:AG32)</f>
        <v>2</v>
      </c>
      <c r="AE32" s="5">
        <f>COUNTIFS(C:C,AC32,J:J,"승")</f>
        <v>0</v>
      </c>
      <c r="AF32" s="6">
        <f>COUNTIFS(C:C,AC32,J:J,"무")</f>
        <v>0</v>
      </c>
      <c r="AG32" s="7">
        <f>COUNTIFS(C:C,AC32,J:J,"패")</f>
        <v>2</v>
      </c>
      <c r="AH32" s="26">
        <f>AE32*3+AF32</f>
        <v>0</v>
      </c>
      <c r="AI32" s="23">
        <f>AE32/AD32</f>
        <v>0</v>
      </c>
      <c r="AJ32" s="2">
        <f>SUMIF(C:C,AC32,E:E)</f>
        <v>1</v>
      </c>
      <c r="AK32" s="2">
        <f>SUMIF(C:C,AC32,F:F)</f>
        <v>5</v>
      </c>
      <c r="AL32" s="2">
        <f>AJ32-AK32</f>
        <v>-4</v>
      </c>
    </row>
    <row r="33" spans="1:38">
      <c r="A33" s="49"/>
      <c r="B33" s="30"/>
      <c r="C33" s="30"/>
      <c r="D33" s="30"/>
      <c r="E33" s="30"/>
      <c r="F33" s="30"/>
      <c r="G33" s="30"/>
      <c r="H33" s="30"/>
      <c r="I33" s="30"/>
      <c r="J33" s="40"/>
      <c r="K33" s="53"/>
      <c r="L33" s="15"/>
      <c r="M33" s="15"/>
      <c r="N33" s="15"/>
      <c r="O33" s="54"/>
      <c r="P33" s="55"/>
      <c r="Q33" s="56"/>
      <c r="R33" s="56"/>
      <c r="S33" s="56"/>
      <c r="T33" s="54"/>
      <c r="W33" s="71" t="s">
        <v>97</v>
      </c>
      <c r="X33" s="81">
        <f t="shared" si="0"/>
        <v>0</v>
      </c>
      <c r="Y33" s="81">
        <f t="shared" si="1"/>
        <v>0</v>
      </c>
      <c r="Z33" s="51">
        <f t="shared" si="2"/>
        <v>0</v>
      </c>
      <c r="AC33" s="2" t="s">
        <v>324</v>
      </c>
      <c r="AD33" s="2">
        <f>SUM(AE33:AG33)</f>
        <v>1</v>
      </c>
      <c r="AE33" s="5">
        <f>COUNTIFS(C:C,AC33,J:J,"승")</f>
        <v>1</v>
      </c>
      <c r="AF33" s="6">
        <f>COUNTIFS(C:C,AC33,J:J,"무")</f>
        <v>0</v>
      </c>
      <c r="AG33" s="7">
        <f>COUNTIFS(C:C,AC33,J:J,"패")</f>
        <v>0</v>
      </c>
      <c r="AH33" s="26">
        <f>AE33*3+AF33</f>
        <v>3</v>
      </c>
      <c r="AI33" s="23">
        <f>AE33/AD33</f>
        <v>1</v>
      </c>
      <c r="AJ33" s="2">
        <f>SUMIF(C:C,AC33,E:E)</f>
        <v>4</v>
      </c>
      <c r="AK33" s="2">
        <f>SUMIF(C:C,AC33,F:F)</f>
        <v>0</v>
      </c>
      <c r="AL33" s="2">
        <f>AJ33-AK33</f>
        <v>4</v>
      </c>
    </row>
    <row r="34" spans="1:38">
      <c r="A34" s="49"/>
      <c r="B34" s="30"/>
      <c r="C34" s="30"/>
      <c r="D34" s="30"/>
      <c r="E34" s="30"/>
      <c r="F34" s="30"/>
      <c r="G34" s="30"/>
      <c r="H34" s="30"/>
      <c r="I34" s="30"/>
      <c r="J34" s="40"/>
      <c r="K34" s="53"/>
      <c r="L34" s="15"/>
      <c r="M34" s="15"/>
      <c r="N34" s="15"/>
      <c r="O34" s="54"/>
      <c r="P34" s="55"/>
      <c r="Q34" s="56"/>
      <c r="R34" s="56"/>
      <c r="S34" s="56"/>
      <c r="T34" s="54"/>
      <c r="W34" s="71" t="s">
        <v>280</v>
      </c>
      <c r="X34" s="81">
        <f t="shared" si="0"/>
        <v>0</v>
      </c>
      <c r="Y34" s="81">
        <f t="shared" si="1"/>
        <v>0</v>
      </c>
      <c r="Z34" s="51">
        <f t="shared" si="2"/>
        <v>0</v>
      </c>
      <c r="AC34" s="2"/>
      <c r="AD34" s="2"/>
      <c r="AE34" s="5"/>
      <c r="AF34" s="6"/>
      <c r="AG34" s="7"/>
      <c r="AH34" s="26"/>
      <c r="AI34" s="23"/>
      <c r="AJ34" s="2"/>
      <c r="AK34" s="2"/>
      <c r="AL34" s="2"/>
    </row>
    <row r="35" spans="1:38">
      <c r="A35" s="49"/>
      <c r="B35" s="30"/>
      <c r="C35" s="30"/>
      <c r="D35" s="30"/>
      <c r="E35" s="30"/>
      <c r="F35" s="30"/>
      <c r="G35" s="30"/>
      <c r="H35" s="30"/>
      <c r="I35" s="30"/>
      <c r="J35" s="40"/>
      <c r="K35" s="53"/>
      <c r="L35" s="15"/>
      <c r="M35" s="15"/>
      <c r="N35" s="15"/>
      <c r="O35" s="54"/>
      <c r="P35" s="55"/>
      <c r="Q35" s="56"/>
      <c r="R35" s="56"/>
      <c r="S35" s="56"/>
      <c r="T35" s="54"/>
      <c r="W35" s="71" t="s">
        <v>105</v>
      </c>
      <c r="X35" s="81">
        <f t="shared" si="0"/>
        <v>0</v>
      </c>
      <c r="Y35" s="81">
        <f t="shared" si="1"/>
        <v>0</v>
      </c>
      <c r="Z35" s="51">
        <f t="shared" si="2"/>
        <v>0</v>
      </c>
      <c r="AC35" s="2"/>
      <c r="AD35" s="2"/>
      <c r="AE35" s="5"/>
      <c r="AF35" s="6"/>
      <c r="AG35" s="7"/>
      <c r="AH35" s="26"/>
      <c r="AI35" s="23"/>
      <c r="AJ35" s="2"/>
      <c r="AK35" s="2"/>
      <c r="AL35" s="2"/>
    </row>
    <row r="36" spans="1:38">
      <c r="A36" s="35"/>
      <c r="B36" s="24"/>
      <c r="C36" s="24"/>
      <c r="D36" s="24"/>
      <c r="E36" s="24"/>
      <c r="F36" s="24"/>
      <c r="G36" s="24"/>
      <c r="H36" s="24"/>
      <c r="I36" s="24"/>
      <c r="J36" s="41"/>
      <c r="K36" s="57"/>
      <c r="L36" s="58"/>
      <c r="M36" s="58"/>
      <c r="N36" s="58"/>
      <c r="O36" s="59"/>
      <c r="P36" s="60"/>
      <c r="Q36" s="61"/>
      <c r="R36" s="61"/>
      <c r="S36" s="61"/>
      <c r="T36" s="59"/>
      <c r="W36" s="71" t="s">
        <v>178</v>
      </c>
      <c r="X36" s="81">
        <f t="shared" si="0"/>
        <v>0</v>
      </c>
      <c r="Y36" s="81">
        <f t="shared" si="1"/>
        <v>0</v>
      </c>
      <c r="Z36" s="51">
        <f t="shared" si="2"/>
        <v>0</v>
      </c>
      <c r="AC36" s="2"/>
      <c r="AD36" s="2"/>
      <c r="AE36" s="5"/>
      <c r="AF36" s="6"/>
      <c r="AG36" s="7"/>
      <c r="AH36" s="26"/>
      <c r="AI36" s="23"/>
      <c r="AJ36" s="2"/>
      <c r="AK36" s="2"/>
      <c r="AL36" s="2"/>
    </row>
    <row r="37" spans="1:38">
      <c r="A37" s="35"/>
      <c r="B37" s="24"/>
      <c r="C37" s="24"/>
      <c r="D37" s="24"/>
      <c r="E37" s="24"/>
      <c r="F37" s="24"/>
      <c r="G37" s="24"/>
      <c r="H37" s="24"/>
      <c r="I37" s="24"/>
      <c r="J37" s="41"/>
      <c r="K37" s="57"/>
      <c r="L37" s="58"/>
      <c r="M37" s="58"/>
      <c r="N37" s="58"/>
      <c r="O37" s="59"/>
      <c r="P37" s="60"/>
      <c r="Q37" s="61"/>
      <c r="R37" s="61"/>
      <c r="S37" s="61"/>
      <c r="T37" s="59"/>
      <c r="W37" s="68" t="s">
        <v>107</v>
      </c>
      <c r="X37" s="81">
        <f t="shared" si="0"/>
        <v>0</v>
      </c>
      <c r="Y37" s="81">
        <f t="shared" si="1"/>
        <v>0</v>
      </c>
      <c r="Z37" s="51">
        <f t="shared" si="2"/>
        <v>0</v>
      </c>
      <c r="AC37" s="2"/>
      <c r="AD37" s="2"/>
      <c r="AE37" s="5"/>
      <c r="AF37" s="6"/>
      <c r="AG37" s="7"/>
      <c r="AH37" s="26"/>
      <c r="AI37" s="23"/>
      <c r="AJ37" s="2"/>
      <c r="AK37" s="2"/>
      <c r="AL37" s="2"/>
    </row>
    <row r="38" spans="1:38">
      <c r="A38" s="35"/>
      <c r="B38" s="24"/>
      <c r="C38" s="24"/>
      <c r="D38" s="24"/>
      <c r="E38" s="24"/>
      <c r="F38" s="24"/>
      <c r="G38" s="24"/>
      <c r="H38" s="24"/>
      <c r="I38" s="24"/>
      <c r="J38" s="41"/>
      <c r="K38" s="62"/>
      <c r="L38" s="58"/>
      <c r="M38" s="58"/>
      <c r="N38" s="58"/>
      <c r="O38" s="59"/>
      <c r="P38" s="60"/>
      <c r="Q38" s="61"/>
      <c r="R38" s="61"/>
      <c r="S38" s="61"/>
      <c r="T38" s="59"/>
      <c r="W38" s="68" t="s">
        <v>108</v>
      </c>
      <c r="X38" s="81">
        <f t="shared" si="0"/>
        <v>0</v>
      </c>
      <c r="Y38" s="81">
        <f t="shared" si="1"/>
        <v>0</v>
      </c>
      <c r="Z38" s="51">
        <f t="shared" si="2"/>
        <v>0</v>
      </c>
      <c r="AC38" s="2"/>
      <c r="AD38" s="2"/>
      <c r="AE38" s="5"/>
      <c r="AF38" s="6"/>
      <c r="AG38" s="7"/>
      <c r="AH38" s="26"/>
      <c r="AI38" s="23"/>
      <c r="AJ38" s="2"/>
      <c r="AK38" s="2"/>
      <c r="AL38" s="2"/>
    </row>
    <row r="39" spans="1:38">
      <c r="A39" s="35"/>
      <c r="B39" s="24"/>
      <c r="C39" s="24"/>
      <c r="D39" s="24"/>
      <c r="E39" s="24"/>
      <c r="F39" s="24"/>
      <c r="G39" s="24"/>
      <c r="H39" s="24"/>
      <c r="I39" s="24"/>
      <c r="J39" s="41"/>
      <c r="K39" s="57"/>
      <c r="L39" s="58"/>
      <c r="M39" s="58"/>
      <c r="N39" s="58"/>
      <c r="O39" s="59"/>
      <c r="P39" s="60"/>
      <c r="Q39" s="61"/>
      <c r="R39" s="61"/>
      <c r="S39" s="61"/>
      <c r="T39" s="59"/>
      <c r="W39" s="68" t="s">
        <v>179</v>
      </c>
      <c r="X39" s="81">
        <f t="shared" si="0"/>
        <v>0</v>
      </c>
      <c r="Y39" s="81">
        <f t="shared" si="1"/>
        <v>0</v>
      </c>
      <c r="Z39" s="51">
        <f t="shared" si="2"/>
        <v>0</v>
      </c>
      <c r="AC39" s="2"/>
      <c r="AD39" s="2"/>
      <c r="AE39" s="5"/>
      <c r="AF39" s="6"/>
      <c r="AG39" s="7"/>
      <c r="AH39" s="26"/>
      <c r="AI39" s="23"/>
      <c r="AJ39" s="2"/>
      <c r="AK39" s="2"/>
      <c r="AL39" s="2"/>
    </row>
    <row r="40" spans="1:38" ht="17.5" customHeight="1" thickBot="1">
      <c r="A40" s="36"/>
      <c r="B40" s="37"/>
      <c r="C40" s="37"/>
      <c r="D40" s="37"/>
      <c r="E40" s="37"/>
      <c r="F40" s="37"/>
      <c r="G40" s="37"/>
      <c r="H40" s="37"/>
      <c r="I40" s="37"/>
      <c r="J40" s="42"/>
      <c r="K40" s="63"/>
      <c r="L40" s="64"/>
      <c r="M40" s="64"/>
      <c r="N40" s="64"/>
      <c r="O40" s="65"/>
      <c r="P40" s="66"/>
      <c r="Q40" s="67"/>
      <c r="R40" s="67"/>
      <c r="S40" s="67"/>
      <c r="T40" s="65"/>
      <c r="W40" s="69" t="s">
        <v>284</v>
      </c>
      <c r="X40" s="82">
        <f t="shared" si="0"/>
        <v>0</v>
      </c>
      <c r="Y40" s="81">
        <f t="shared" si="1"/>
        <v>0</v>
      </c>
      <c r="Z40" s="51">
        <f t="shared" si="2"/>
        <v>0</v>
      </c>
      <c r="AC40" s="2"/>
      <c r="AD40" s="2"/>
      <c r="AE40" s="5"/>
      <c r="AF40" s="6"/>
      <c r="AG40" s="7"/>
      <c r="AH40" s="26"/>
      <c r="AI40" s="23"/>
      <c r="AJ40" s="2"/>
      <c r="AK40" s="2"/>
      <c r="AL40" s="2"/>
    </row>
  </sheetData>
  <autoFilter ref="A2:T40" xr:uid="{00000000-0009-0000-0000-00000C000000}"/>
  <phoneticPr fontId="3" type="noConversion"/>
  <conditionalFormatting sqref="AI30:AI40">
    <cfRule type="cellIs" dxfId="25" priority="7" operator="greaterThan">
      <formula>0.5</formula>
    </cfRule>
  </conditionalFormatting>
  <conditionalFormatting sqref="AS3:AS11">
    <cfRule type="top10" dxfId="24" priority="6" percent="1" rank="5"/>
  </conditionalFormatting>
  <conditionalFormatting sqref="AS12:AS13">
    <cfRule type="top10" dxfId="23" priority="1" percent="1" rank="5"/>
  </conditionalFormatting>
  <conditionalFormatting sqref="AS15:AS23">
    <cfRule type="top10" dxfId="22" priority="4" percent="1" rank="10"/>
    <cfRule type="top10" dxfId="21" priority="5" percent="1" rank="5"/>
  </conditionalFormatting>
  <conditionalFormatting sqref="AU3:AU11">
    <cfRule type="aboveAverage" dxfId="20" priority="8"/>
    <cfRule type="top10" dxfId="19" priority="11" percent="1" rank="10"/>
  </conditionalFormatting>
  <conditionalFormatting sqref="AU12:AU13">
    <cfRule type="aboveAverage" dxfId="18" priority="2"/>
    <cfRule type="top10" dxfId="17" priority="3" percent="1" rank="10"/>
  </conditionalFormatting>
  <conditionalFormatting sqref="AU15:AU23">
    <cfRule type="aboveAverage" dxfId="16" priority="9"/>
    <cfRule type="top10" dxfId="15" priority="10" percent="1" rank="10"/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0"/>
  <sheetViews>
    <sheetView showGridLines="0" topLeftCell="F1" zoomScale="85" zoomScaleNormal="85" workbookViewId="0">
      <selection activeCell="AC30" sqref="AC30:AL32"/>
    </sheetView>
  </sheetViews>
  <sheetFormatPr defaultRowHeight="17"/>
  <cols>
    <col min="1" max="1" width="10.58203125" style="18" bestFit="1" customWidth="1"/>
    <col min="2" max="2" width="6.5" style="18" bestFit="1" customWidth="1"/>
    <col min="3" max="3" width="11.75" style="18" bestFit="1" customWidth="1"/>
    <col min="4" max="4" width="7.08203125" style="18" bestFit="1" customWidth="1"/>
    <col min="5" max="6" width="5.5" style="18" bestFit="1" customWidth="1"/>
    <col min="7" max="7" width="9.25" style="18" bestFit="1" customWidth="1"/>
    <col min="8" max="8" width="7.08203125" style="18" bestFit="1" customWidth="1"/>
    <col min="9" max="9" width="7.33203125" style="18" bestFit="1" customWidth="1"/>
    <col min="10" max="10" width="5.5" style="18" bestFit="1" customWidth="1"/>
    <col min="11" max="11" width="11" style="452" bestFit="1" customWidth="1"/>
    <col min="12" max="12" width="10" style="452" customWidth="1"/>
    <col min="13" max="16" width="11" style="452" bestFit="1" customWidth="1"/>
    <col min="17" max="20" width="6.58203125" style="452" bestFit="1" customWidth="1"/>
    <col min="21" max="21" width="3.25" style="452" bestFit="1" customWidth="1"/>
    <col min="22" max="22" width="3.33203125" style="452" bestFit="1" customWidth="1"/>
    <col min="23" max="23" width="11" style="452" bestFit="1" customWidth="1"/>
    <col min="24" max="26" width="5.5" style="452" bestFit="1" customWidth="1"/>
    <col min="27" max="27" width="9.25" style="452" bestFit="1" customWidth="1"/>
    <col min="28" max="28" width="8.25" style="452" bestFit="1" customWidth="1"/>
    <col min="29" max="29" width="9.25" style="452" bestFit="1" customWidth="1"/>
    <col min="30" max="30" width="5.5" style="452" bestFit="1" customWidth="1"/>
    <col min="31" max="32" width="3.25" style="452" bestFit="1" customWidth="1"/>
    <col min="33" max="33" width="3.58203125" style="452" bestFit="1" customWidth="1"/>
    <col min="34" max="34" width="6" style="452" bestFit="1" customWidth="1"/>
    <col min="35" max="35" width="8.58203125" style="452" bestFit="1" customWidth="1"/>
  </cols>
  <sheetData>
    <row r="1" spans="1:47" ht="17.5" customHeight="1" thickBot="1"/>
    <row r="2" spans="1:47">
      <c r="A2" s="33" t="s">
        <v>3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9</v>
      </c>
      <c r="G2" s="34" t="s">
        <v>11</v>
      </c>
      <c r="H2" s="34" t="s">
        <v>12</v>
      </c>
      <c r="I2" s="34" t="s">
        <v>13</v>
      </c>
      <c r="J2" s="39" t="s">
        <v>10</v>
      </c>
      <c r="K2" s="44" t="s">
        <v>14</v>
      </c>
      <c r="L2" s="45" t="s">
        <v>15</v>
      </c>
      <c r="M2" s="45" t="s">
        <v>16</v>
      </c>
      <c r="N2" s="45" t="s">
        <v>17</v>
      </c>
      <c r="O2" s="46" t="s">
        <v>243</v>
      </c>
      <c r="P2" s="47" t="s">
        <v>18</v>
      </c>
      <c r="Q2" s="48" t="s">
        <v>19</v>
      </c>
      <c r="R2" s="48" t="s">
        <v>20</v>
      </c>
      <c r="S2" s="48" t="s">
        <v>21</v>
      </c>
      <c r="T2" s="43" t="s">
        <v>244</v>
      </c>
      <c r="W2" s="33" t="s">
        <v>24</v>
      </c>
      <c r="X2" s="38" t="s">
        <v>8</v>
      </c>
      <c r="Y2" s="38" t="s">
        <v>28</v>
      </c>
      <c r="Z2" s="38" t="s">
        <v>29</v>
      </c>
      <c r="AC2" s="4" t="s">
        <v>11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138</v>
      </c>
      <c r="AN2" s="4" t="s">
        <v>245</v>
      </c>
      <c r="AO2" s="4" t="s">
        <v>30</v>
      </c>
      <c r="AP2" s="4" t="s">
        <v>31</v>
      </c>
      <c r="AQ2" s="4" t="s">
        <v>32</v>
      </c>
      <c r="AR2" s="4" t="s">
        <v>33</v>
      </c>
      <c r="AS2" s="4" t="s">
        <v>34</v>
      </c>
      <c r="AT2" s="4" t="s">
        <v>35</v>
      </c>
      <c r="AU2" s="4" t="s">
        <v>138</v>
      </c>
    </row>
    <row r="3" spans="1:47">
      <c r="A3" s="49">
        <v>45070</v>
      </c>
      <c r="B3" s="30" t="s">
        <v>128</v>
      </c>
      <c r="C3" s="30" t="s">
        <v>139</v>
      </c>
      <c r="D3" s="30" t="s">
        <v>45</v>
      </c>
      <c r="E3" s="30">
        <v>3</v>
      </c>
      <c r="F3" s="30">
        <v>0</v>
      </c>
      <c r="G3" s="30" t="s">
        <v>304</v>
      </c>
      <c r="H3" s="30"/>
      <c r="I3" s="30"/>
      <c r="J3" s="40" t="s">
        <v>31</v>
      </c>
      <c r="K3" s="53" t="s">
        <v>272</v>
      </c>
      <c r="L3" s="15" t="s">
        <v>111</v>
      </c>
      <c r="M3" s="15" t="s">
        <v>279</v>
      </c>
      <c r="N3" s="15"/>
      <c r="O3" s="54"/>
      <c r="P3" s="55" t="s">
        <v>170</v>
      </c>
      <c r="Q3" s="56" t="s">
        <v>112</v>
      </c>
      <c r="R3" s="56" t="s">
        <v>143</v>
      </c>
      <c r="S3" s="56"/>
      <c r="T3" s="54"/>
      <c r="W3" s="72" t="s">
        <v>300</v>
      </c>
      <c r="X3" s="81">
        <f t="shared" ref="X3:X40" si="0">COUNTIF(K$3:O$40,W3)</f>
        <v>1</v>
      </c>
      <c r="Y3" s="81">
        <f t="shared" ref="Y3:Y40" si="1">COUNTIF(P$3:T$40,W3)</f>
        <v>0</v>
      </c>
      <c r="Z3" s="51">
        <f t="shared" ref="Z3:Z40" si="2">X3+Y3</f>
        <v>1</v>
      </c>
      <c r="AC3" s="20" t="s">
        <v>304</v>
      </c>
      <c r="AD3" s="20">
        <f>SUM(AE3:AG3)</f>
        <v>2</v>
      </c>
      <c r="AE3" s="28">
        <f>COUNTIFS(G:G,AC3,J:J,AE$2)</f>
        <v>2</v>
      </c>
      <c r="AF3" s="28">
        <f>COUNTIFS(G:G,AC3,J:J,AF$2)</f>
        <v>0</v>
      </c>
      <c r="AG3" s="29">
        <f>COUNTIFS(G:G,AC3,J:J,AG$2)</f>
        <v>0</v>
      </c>
      <c r="AH3" s="8">
        <f>AE3*3+AF3</f>
        <v>6</v>
      </c>
      <c r="AI3" s="23">
        <f>AE3/AD3</f>
        <v>1</v>
      </c>
      <c r="AJ3" s="25">
        <f>AH3/AD3</f>
        <v>3</v>
      </c>
      <c r="AN3" s="2" t="s">
        <v>253</v>
      </c>
      <c r="AO3" s="2">
        <f>SUM(AP3:AR3)</f>
        <v>1</v>
      </c>
      <c r="AP3" s="5">
        <f>COUNTIFS(H:H,AN3,J:J,AP$2)</f>
        <v>0</v>
      </c>
      <c r="AQ3" s="6">
        <f>COUNTIFS(H:H,AN3,J:J,AQ$2)</f>
        <v>0</v>
      </c>
      <c r="AR3" s="7">
        <f>COUNTIFS(H:H,AN3,J:J,AR$2)</f>
        <v>1</v>
      </c>
      <c r="AS3" s="26">
        <f>AP3*3+AQ3</f>
        <v>0</v>
      </c>
      <c r="AT3" s="11">
        <f>AP3/AO3</f>
        <v>0</v>
      </c>
      <c r="AU3" s="22">
        <f>AS3/AO3</f>
        <v>0</v>
      </c>
    </row>
    <row r="4" spans="1:47">
      <c r="A4" s="49">
        <v>45088</v>
      </c>
      <c r="B4" s="30" t="s">
        <v>129</v>
      </c>
      <c r="C4" s="30" t="s">
        <v>142</v>
      </c>
      <c r="D4" s="30" t="s">
        <v>45</v>
      </c>
      <c r="E4" s="30">
        <v>3</v>
      </c>
      <c r="F4" s="30">
        <v>2</v>
      </c>
      <c r="G4" s="30" t="s">
        <v>304</v>
      </c>
      <c r="H4" s="30"/>
      <c r="I4" s="30"/>
      <c r="J4" s="40" t="s">
        <v>31</v>
      </c>
      <c r="K4" s="53" t="s">
        <v>300</v>
      </c>
      <c r="L4" s="15" t="s">
        <v>271</v>
      </c>
      <c r="M4" s="15" t="s">
        <v>271</v>
      </c>
      <c r="N4" s="15"/>
      <c r="O4" s="54"/>
      <c r="P4" s="56"/>
      <c r="Q4" s="56"/>
      <c r="R4" s="56" t="s">
        <v>70</v>
      </c>
      <c r="S4" s="56"/>
      <c r="T4" s="54"/>
      <c r="W4" s="72" t="s">
        <v>70</v>
      </c>
      <c r="X4" s="81">
        <f t="shared" si="0"/>
        <v>1</v>
      </c>
      <c r="Y4" s="81">
        <f t="shared" si="1"/>
        <v>1</v>
      </c>
      <c r="Z4" s="51">
        <f t="shared" si="2"/>
        <v>2</v>
      </c>
      <c r="AC4" s="2" t="s">
        <v>252</v>
      </c>
      <c r="AD4" s="2">
        <f>SUM(AE4:AG4)</f>
        <v>1</v>
      </c>
      <c r="AE4" s="28">
        <f>COUNTIFS(G:G,AC4,J:J,AE$2)</f>
        <v>0</v>
      </c>
      <c r="AF4" s="28">
        <f>COUNTIFS(G:G,AC4,J:J,AF$2)</f>
        <v>0</v>
      </c>
      <c r="AG4" s="29">
        <f>COUNTIFS(G:G,AC4,J:J,AG$2)</f>
        <v>1</v>
      </c>
      <c r="AH4" s="8">
        <f>AE4*3+AF4</f>
        <v>0</v>
      </c>
      <c r="AI4" s="10">
        <f>AE4/AD4</f>
        <v>0</v>
      </c>
      <c r="AJ4" s="22">
        <f>AH4/AD4</f>
        <v>0</v>
      </c>
      <c r="AN4" s="2"/>
      <c r="AO4" s="2"/>
      <c r="AP4" s="5"/>
      <c r="AQ4" s="6"/>
      <c r="AR4" s="7"/>
      <c r="AS4" s="8"/>
      <c r="AT4" s="11"/>
      <c r="AU4" s="22"/>
    </row>
    <row r="5" spans="1:47">
      <c r="A5" s="49">
        <v>45231</v>
      </c>
      <c r="B5" s="30" t="s">
        <v>130</v>
      </c>
      <c r="C5" s="30" t="s">
        <v>67</v>
      </c>
      <c r="D5" s="30" t="s">
        <v>49</v>
      </c>
      <c r="E5" s="30">
        <v>1</v>
      </c>
      <c r="F5" s="30">
        <v>3</v>
      </c>
      <c r="G5" s="30" t="s">
        <v>252</v>
      </c>
      <c r="H5" s="30" t="s">
        <v>253</v>
      </c>
      <c r="I5" s="30" t="s">
        <v>254</v>
      </c>
      <c r="J5" s="40" t="s">
        <v>33</v>
      </c>
      <c r="K5" s="53" t="s">
        <v>70</v>
      </c>
      <c r="L5" s="15"/>
      <c r="M5" s="15"/>
      <c r="N5" s="15"/>
      <c r="O5" s="54"/>
      <c r="P5" s="55" t="s">
        <v>93</v>
      </c>
      <c r="Q5" s="56"/>
      <c r="R5" s="56"/>
      <c r="S5" s="56"/>
      <c r="T5" s="54"/>
      <c r="W5" s="72" t="s">
        <v>272</v>
      </c>
      <c r="X5" s="81">
        <f t="shared" si="0"/>
        <v>1</v>
      </c>
      <c r="Y5" s="81">
        <f t="shared" si="1"/>
        <v>0</v>
      </c>
      <c r="Z5" s="51">
        <f t="shared" si="2"/>
        <v>1</v>
      </c>
      <c r="AC5" s="2"/>
      <c r="AD5" s="2"/>
      <c r="AE5" s="28"/>
      <c r="AF5" s="28"/>
      <c r="AG5" s="29"/>
      <c r="AH5" s="8"/>
      <c r="AI5" s="10"/>
      <c r="AJ5" s="22"/>
      <c r="AN5" s="2"/>
      <c r="AO5" s="2"/>
      <c r="AP5" s="5"/>
      <c r="AQ5" s="6"/>
      <c r="AR5" s="7"/>
      <c r="AS5" s="8"/>
      <c r="AT5" s="11"/>
      <c r="AU5" s="22"/>
    </row>
    <row r="6" spans="1:47">
      <c r="A6" s="49"/>
      <c r="B6" s="30"/>
      <c r="C6" s="30"/>
      <c r="D6" s="30"/>
      <c r="E6" s="30"/>
      <c r="F6" s="30"/>
      <c r="G6" s="30"/>
      <c r="H6" s="30"/>
      <c r="I6" s="30"/>
      <c r="J6" s="40"/>
      <c r="K6" s="53"/>
      <c r="L6" s="15"/>
      <c r="M6" s="15"/>
      <c r="N6" s="15"/>
      <c r="O6" s="54"/>
      <c r="P6" s="55"/>
      <c r="Q6" s="56"/>
      <c r="R6" s="56"/>
      <c r="S6" s="56"/>
      <c r="T6" s="54"/>
      <c r="W6" s="72" t="s">
        <v>143</v>
      </c>
      <c r="X6" s="81">
        <f t="shared" si="0"/>
        <v>0</v>
      </c>
      <c r="Y6" s="81">
        <f t="shared" si="1"/>
        <v>1</v>
      </c>
      <c r="Z6" s="51">
        <f t="shared" si="2"/>
        <v>1</v>
      </c>
      <c r="AC6" s="2"/>
      <c r="AD6" s="2"/>
      <c r="AE6" s="30"/>
      <c r="AF6" s="15"/>
      <c r="AG6" s="16"/>
      <c r="AH6" s="8"/>
      <c r="AI6" s="23"/>
      <c r="AJ6" s="22"/>
      <c r="AN6" s="20"/>
      <c r="AO6" s="2"/>
      <c r="AP6" s="5"/>
      <c r="AQ6" s="6"/>
      <c r="AR6" s="7"/>
      <c r="AS6" s="26"/>
      <c r="AT6" s="11"/>
      <c r="AU6" s="22"/>
    </row>
    <row r="7" spans="1:47">
      <c r="A7" s="49"/>
      <c r="B7" s="30"/>
      <c r="C7" s="30"/>
      <c r="D7" s="30"/>
      <c r="E7" s="30"/>
      <c r="F7" s="30"/>
      <c r="G7" s="30"/>
      <c r="H7" s="30"/>
      <c r="I7" s="30"/>
      <c r="J7" s="40"/>
      <c r="K7" s="53"/>
      <c r="L7" s="15"/>
      <c r="M7" s="15"/>
      <c r="N7" s="15"/>
      <c r="O7" s="54"/>
      <c r="P7" s="55"/>
      <c r="Q7" s="56"/>
      <c r="R7" s="56"/>
      <c r="S7" s="56"/>
      <c r="T7" s="54"/>
      <c r="W7" s="72" t="s">
        <v>271</v>
      </c>
      <c r="X7" s="81">
        <f t="shared" si="0"/>
        <v>2</v>
      </c>
      <c r="Y7" s="81">
        <f t="shared" si="1"/>
        <v>0</v>
      </c>
      <c r="Z7" s="51">
        <f t="shared" si="2"/>
        <v>2</v>
      </c>
      <c r="AB7" s="4" t="s">
        <v>7</v>
      </c>
      <c r="AC7" s="4" t="s">
        <v>11</v>
      </c>
      <c r="AD7" s="4" t="s">
        <v>30</v>
      </c>
      <c r="AE7" s="4" t="s">
        <v>31</v>
      </c>
      <c r="AF7" s="4" t="s">
        <v>32</v>
      </c>
      <c r="AG7" s="4" t="s">
        <v>33</v>
      </c>
      <c r="AH7" s="4" t="s">
        <v>34</v>
      </c>
      <c r="AI7" s="4" t="s">
        <v>35</v>
      </c>
      <c r="AJ7" s="4" t="s">
        <v>138</v>
      </c>
      <c r="AN7" s="20"/>
      <c r="AO7" s="2"/>
      <c r="AP7" s="5"/>
      <c r="AQ7" s="6"/>
      <c r="AR7" s="7"/>
      <c r="AS7" s="8"/>
      <c r="AT7" s="11"/>
      <c r="AU7" s="22"/>
    </row>
    <row r="8" spans="1:47">
      <c r="A8" s="49"/>
      <c r="B8" s="30"/>
      <c r="C8" s="30"/>
      <c r="D8" s="30"/>
      <c r="E8" s="30"/>
      <c r="F8" s="30"/>
      <c r="G8" s="30"/>
      <c r="H8" s="30"/>
      <c r="I8" s="30"/>
      <c r="J8" s="40"/>
      <c r="K8" s="53"/>
      <c r="L8" s="15"/>
      <c r="M8" s="15"/>
      <c r="N8" s="15"/>
      <c r="O8" s="54"/>
      <c r="P8" s="55"/>
      <c r="Q8" s="56"/>
      <c r="R8" s="56"/>
      <c r="S8" s="56"/>
      <c r="T8" s="54"/>
      <c r="W8" s="72" t="s">
        <v>46</v>
      </c>
      <c r="X8" s="81">
        <f t="shared" si="0"/>
        <v>0</v>
      </c>
      <c r="Y8" s="81">
        <f t="shared" si="1"/>
        <v>0</v>
      </c>
      <c r="Z8" s="51">
        <f t="shared" si="2"/>
        <v>0</v>
      </c>
      <c r="AB8" s="2" t="s">
        <v>45</v>
      </c>
      <c r="AC8" s="20" t="s">
        <v>304</v>
      </c>
      <c r="AD8" s="2">
        <f>SUM(AE8:AG8)</f>
        <v>2</v>
      </c>
      <c r="AE8" s="5">
        <f>COUNTIFS(D:D,AB8,G:G,AC8,J:J,AE$7)</f>
        <v>2</v>
      </c>
      <c r="AF8" s="5">
        <f>COUNTIFS(D:D,AB8,G:G,AC8,J:J,AF$7)</f>
        <v>0</v>
      </c>
      <c r="AG8" s="5">
        <f>COUNTIFS(D:D,AB8,G:G,AC8,J:J,AG$7)</f>
        <v>0</v>
      </c>
      <c r="AH8" s="8">
        <f>AE8*3+AF8</f>
        <v>6</v>
      </c>
      <c r="AI8" s="9">
        <f>AE8/AD8</f>
        <v>1</v>
      </c>
      <c r="AJ8" s="22">
        <f>AH8/AD8</f>
        <v>3</v>
      </c>
      <c r="AN8" s="20"/>
      <c r="AO8" s="2"/>
      <c r="AP8" s="5"/>
      <c r="AQ8" s="6"/>
      <c r="AR8" s="7"/>
      <c r="AS8" s="8"/>
      <c r="AT8" s="11"/>
      <c r="AU8" s="22"/>
    </row>
    <row r="9" spans="1:47">
      <c r="A9" s="49"/>
      <c r="B9" s="30"/>
      <c r="C9" s="30"/>
      <c r="D9" s="30"/>
      <c r="E9" s="30"/>
      <c r="F9" s="30"/>
      <c r="G9" s="30"/>
      <c r="H9" s="30"/>
      <c r="I9" s="30"/>
      <c r="J9" s="40"/>
      <c r="K9" s="53"/>
      <c r="L9" s="15"/>
      <c r="M9" s="15"/>
      <c r="N9" s="15"/>
      <c r="O9" s="54"/>
      <c r="P9" s="55"/>
      <c r="Q9" s="56"/>
      <c r="R9" s="56"/>
      <c r="S9" s="56"/>
      <c r="T9" s="54"/>
      <c r="W9" s="72" t="s">
        <v>111</v>
      </c>
      <c r="X9" s="81">
        <f t="shared" si="0"/>
        <v>1</v>
      </c>
      <c r="Y9" s="81">
        <f t="shared" si="1"/>
        <v>0</v>
      </c>
      <c r="Z9" s="51">
        <f t="shared" si="2"/>
        <v>1</v>
      </c>
      <c r="AB9" s="2" t="s">
        <v>45</v>
      </c>
      <c r="AC9" s="2" t="s">
        <v>252</v>
      </c>
      <c r="AD9" s="2">
        <f>SUM(AE9:AG9)</f>
        <v>0</v>
      </c>
      <c r="AE9" s="5">
        <f>COUNTIFS(D:D,AB9,G:G,AC9,J:J,AE$7)</f>
        <v>0</v>
      </c>
      <c r="AF9" s="5">
        <f>COUNTIFS(D:D,AB9,G:G,AC9,J:J,AF$7)</f>
        <v>0</v>
      </c>
      <c r="AG9" s="5">
        <f>COUNTIFS(D:D,AB9,G:G,AC9,J:J,AG$7)</f>
        <v>0</v>
      </c>
      <c r="AH9" s="8">
        <f>AE9*3+AF9</f>
        <v>0</v>
      </c>
      <c r="AI9" s="9" t="e">
        <f>AE9/AD9</f>
        <v>#DIV/0!</v>
      </c>
      <c r="AJ9" s="22" t="e">
        <f>AH9/AD9</f>
        <v>#DIV/0!</v>
      </c>
      <c r="AN9" s="20"/>
      <c r="AO9" s="2"/>
      <c r="AP9" s="5"/>
      <c r="AQ9" s="6"/>
      <c r="AR9" s="7"/>
      <c r="AS9" s="8"/>
      <c r="AT9" s="11"/>
      <c r="AU9" s="22"/>
    </row>
    <row r="10" spans="1:47">
      <c r="A10" s="49"/>
      <c r="B10" s="30"/>
      <c r="C10" s="30"/>
      <c r="D10" s="30"/>
      <c r="E10" s="30"/>
      <c r="F10" s="30"/>
      <c r="G10" s="30"/>
      <c r="H10" s="30"/>
      <c r="I10" s="30"/>
      <c r="J10" s="40"/>
      <c r="K10" s="53"/>
      <c r="L10" s="15"/>
      <c r="M10" s="15"/>
      <c r="N10" s="15"/>
      <c r="O10" s="54"/>
      <c r="P10" s="55"/>
      <c r="Q10" s="56"/>
      <c r="R10" s="56"/>
      <c r="S10" s="56"/>
      <c r="T10" s="54"/>
      <c r="W10" s="72" t="s">
        <v>156</v>
      </c>
      <c r="X10" s="81">
        <f t="shared" si="0"/>
        <v>0</v>
      </c>
      <c r="Y10" s="81">
        <f t="shared" si="1"/>
        <v>0</v>
      </c>
      <c r="Z10" s="51">
        <f t="shared" si="2"/>
        <v>0</v>
      </c>
      <c r="AB10" s="2"/>
      <c r="AC10" s="2"/>
      <c r="AD10" s="2"/>
      <c r="AE10" s="5"/>
      <c r="AF10" s="5"/>
      <c r="AG10" s="5"/>
      <c r="AH10" s="8"/>
      <c r="AI10" s="9"/>
      <c r="AJ10" s="22"/>
      <c r="AN10" s="20"/>
      <c r="AO10" s="2"/>
      <c r="AP10" s="5"/>
      <c r="AQ10" s="6"/>
      <c r="AR10" s="7"/>
      <c r="AS10" s="8"/>
      <c r="AT10" s="11"/>
      <c r="AU10" s="22"/>
    </row>
    <row r="11" spans="1:47">
      <c r="A11" s="49"/>
      <c r="B11" s="30"/>
      <c r="C11" s="30"/>
      <c r="D11" s="30"/>
      <c r="E11" s="30"/>
      <c r="F11" s="30"/>
      <c r="G11" s="30"/>
      <c r="H11" s="30"/>
      <c r="I11" s="30"/>
      <c r="J11" s="40"/>
      <c r="K11" s="53"/>
      <c r="L11" s="15"/>
      <c r="M11" s="15"/>
      <c r="N11" s="15"/>
      <c r="O11" s="54"/>
      <c r="P11" s="55"/>
      <c r="Q11" s="56"/>
      <c r="R11" s="56"/>
      <c r="S11" s="56"/>
      <c r="T11" s="54"/>
      <c r="W11" s="72" t="s">
        <v>307</v>
      </c>
      <c r="X11" s="81">
        <f t="shared" si="0"/>
        <v>0</v>
      </c>
      <c r="Y11" s="81">
        <f t="shared" si="1"/>
        <v>0</v>
      </c>
      <c r="Z11" s="51">
        <f t="shared" si="2"/>
        <v>0</v>
      </c>
      <c r="AB11" s="2"/>
      <c r="AC11" s="2"/>
      <c r="AD11" s="2"/>
      <c r="AE11" s="5"/>
      <c r="AF11" s="5"/>
      <c r="AG11" s="5"/>
      <c r="AH11" s="8"/>
      <c r="AI11" s="9"/>
      <c r="AJ11" s="22"/>
      <c r="AN11" s="20"/>
      <c r="AO11" s="2"/>
      <c r="AP11" s="5"/>
      <c r="AQ11" s="6"/>
      <c r="AR11" s="7"/>
      <c r="AS11" s="8"/>
      <c r="AT11" s="11"/>
      <c r="AU11" s="22"/>
    </row>
    <row r="12" spans="1:47">
      <c r="A12" s="49"/>
      <c r="B12" s="30"/>
      <c r="C12" s="30"/>
      <c r="D12" s="30"/>
      <c r="E12" s="30"/>
      <c r="F12" s="30"/>
      <c r="G12" s="30"/>
      <c r="H12" s="30"/>
      <c r="I12" s="30"/>
      <c r="J12" s="40"/>
      <c r="K12" s="53"/>
      <c r="L12" s="15"/>
      <c r="M12" s="15"/>
      <c r="N12" s="15"/>
      <c r="O12" s="54"/>
      <c r="P12" s="55"/>
      <c r="Q12" s="56"/>
      <c r="R12" s="56"/>
      <c r="S12" s="56"/>
      <c r="T12" s="54"/>
      <c r="W12" s="72" t="s">
        <v>54</v>
      </c>
      <c r="X12" s="81">
        <f t="shared" si="0"/>
        <v>0</v>
      </c>
      <c r="Y12" s="81">
        <f t="shared" si="1"/>
        <v>0</v>
      </c>
      <c r="Z12" s="51">
        <f t="shared" si="2"/>
        <v>0</v>
      </c>
      <c r="AB12" s="4" t="s">
        <v>7</v>
      </c>
      <c r="AC12" s="4" t="s">
        <v>11</v>
      </c>
      <c r="AD12" s="4" t="s">
        <v>30</v>
      </c>
      <c r="AE12" s="4" t="s">
        <v>31</v>
      </c>
      <c r="AF12" s="4" t="s">
        <v>32</v>
      </c>
      <c r="AG12" s="4" t="s">
        <v>33</v>
      </c>
      <c r="AH12" s="4" t="s">
        <v>34</v>
      </c>
      <c r="AI12" s="4" t="s">
        <v>35</v>
      </c>
      <c r="AJ12" s="4" t="s">
        <v>138</v>
      </c>
      <c r="AN12" s="20"/>
      <c r="AO12" s="2"/>
      <c r="AP12" s="5"/>
      <c r="AQ12" s="6"/>
      <c r="AR12" s="7"/>
      <c r="AS12" s="8"/>
      <c r="AT12" s="11"/>
      <c r="AU12" s="22"/>
    </row>
    <row r="13" spans="1:47">
      <c r="A13" s="49"/>
      <c r="B13" s="30"/>
      <c r="C13" s="30"/>
      <c r="D13" s="30"/>
      <c r="E13" s="30"/>
      <c r="F13" s="30"/>
      <c r="G13" s="30"/>
      <c r="H13" s="30"/>
      <c r="I13" s="30"/>
      <c r="J13" s="40"/>
      <c r="K13" s="53"/>
      <c r="L13" s="15"/>
      <c r="M13" s="15"/>
      <c r="N13" s="15"/>
      <c r="O13" s="54"/>
      <c r="P13" s="55"/>
      <c r="Q13" s="56"/>
      <c r="R13" s="56"/>
      <c r="S13" s="56"/>
      <c r="T13" s="54"/>
      <c r="W13" s="72" t="s">
        <v>269</v>
      </c>
      <c r="X13" s="81">
        <f t="shared" si="0"/>
        <v>0</v>
      </c>
      <c r="Y13" s="81">
        <f t="shared" si="1"/>
        <v>0</v>
      </c>
      <c r="Z13" s="51">
        <f t="shared" si="2"/>
        <v>0</v>
      </c>
      <c r="AB13" s="2" t="s">
        <v>49</v>
      </c>
      <c r="AC13" s="20" t="s">
        <v>304</v>
      </c>
      <c r="AD13" s="2">
        <f>SUM(AE13:AG13)</f>
        <v>0</v>
      </c>
      <c r="AE13" s="5">
        <f>COUNTIFS(D:D,AB13,G:G,AC13,J:J,AE$12)</f>
        <v>0</v>
      </c>
      <c r="AF13" s="5">
        <f>COUNTIFS(D:D,AB13,G:G,AC13,J:J,AF$12)</f>
        <v>0</v>
      </c>
      <c r="AG13" s="5">
        <f>COUNTIFS(D:D,AB13,G:G,AC13,J:J,AG$12)</f>
        <v>0</v>
      </c>
      <c r="AH13" s="8">
        <f>AE13*3+AF13</f>
        <v>0</v>
      </c>
      <c r="AI13" s="9" t="e">
        <f>AE13/AD13</f>
        <v>#DIV/0!</v>
      </c>
      <c r="AJ13" s="22" t="e">
        <f>AH13/AD13</f>
        <v>#DIV/0!</v>
      </c>
      <c r="AN13" s="20"/>
      <c r="AO13" s="2"/>
      <c r="AP13" s="5"/>
      <c r="AQ13" s="6"/>
      <c r="AR13" s="7"/>
      <c r="AS13" s="8"/>
      <c r="AT13" s="11"/>
      <c r="AU13" s="22"/>
    </row>
    <row r="14" spans="1:47">
      <c r="A14" s="50"/>
      <c r="B14" s="24"/>
      <c r="C14" s="24"/>
      <c r="D14" s="24"/>
      <c r="E14" s="24"/>
      <c r="F14" s="24"/>
      <c r="G14" s="24"/>
      <c r="H14" s="24"/>
      <c r="I14" s="24"/>
      <c r="J14" s="41"/>
      <c r="K14" s="57"/>
      <c r="L14" s="58"/>
      <c r="M14" s="58"/>
      <c r="N14" s="58"/>
      <c r="O14" s="59"/>
      <c r="P14" s="60"/>
      <c r="Q14" s="61"/>
      <c r="R14" s="61"/>
      <c r="S14" s="61"/>
      <c r="T14" s="59"/>
      <c r="W14" s="83" t="s">
        <v>261</v>
      </c>
      <c r="X14" s="81">
        <f t="shared" si="0"/>
        <v>0</v>
      </c>
      <c r="Y14" s="81">
        <f t="shared" si="1"/>
        <v>0</v>
      </c>
      <c r="Z14" s="51">
        <f t="shared" si="2"/>
        <v>0</v>
      </c>
      <c r="AB14" s="2" t="s">
        <v>49</v>
      </c>
      <c r="AC14" s="2" t="s">
        <v>252</v>
      </c>
      <c r="AD14" s="2">
        <f>SUM(AE14:AG14)</f>
        <v>1</v>
      </c>
      <c r="AE14" s="5">
        <f>COUNTIFS(D:D,AB14,G:G,AC14,J:J,AE$12)</f>
        <v>0</v>
      </c>
      <c r="AF14" s="5">
        <f>COUNTIFS(D:D,AB14,G:G,AC14,J:J,AF$12)</f>
        <v>0</v>
      </c>
      <c r="AG14" s="5">
        <f>COUNTIFS(D:D,AB14,G:G,AC14,J:J,AG$12)</f>
        <v>1</v>
      </c>
      <c r="AH14" s="8">
        <f>AE14*3+AF14</f>
        <v>0</v>
      </c>
      <c r="AI14" s="9">
        <f>AE14/AD14</f>
        <v>0</v>
      </c>
      <c r="AJ14" s="22">
        <f>AH14/AD14</f>
        <v>0</v>
      </c>
      <c r="AN14" s="4" t="s">
        <v>13</v>
      </c>
      <c r="AO14" s="4" t="s">
        <v>30</v>
      </c>
      <c r="AP14" s="4" t="s">
        <v>31</v>
      </c>
      <c r="AQ14" s="4" t="s">
        <v>32</v>
      </c>
      <c r="AR14" s="4" t="s">
        <v>33</v>
      </c>
      <c r="AS14" s="4" t="s">
        <v>34</v>
      </c>
      <c r="AT14" s="4" t="s">
        <v>35</v>
      </c>
      <c r="AU14" s="4" t="s">
        <v>138</v>
      </c>
    </row>
    <row r="15" spans="1:47">
      <c r="A15" s="50"/>
      <c r="B15" s="24"/>
      <c r="C15" s="24"/>
      <c r="D15" s="24"/>
      <c r="E15" s="24"/>
      <c r="F15" s="24"/>
      <c r="G15" s="24"/>
      <c r="H15" s="24"/>
      <c r="I15" s="24"/>
      <c r="J15" s="41"/>
      <c r="K15" s="57"/>
      <c r="L15" s="58"/>
      <c r="M15" s="58"/>
      <c r="N15" s="58"/>
      <c r="O15" s="59"/>
      <c r="P15" s="60"/>
      <c r="Q15" s="61"/>
      <c r="R15" s="61"/>
      <c r="S15" s="61"/>
      <c r="T15" s="59"/>
      <c r="W15" s="83" t="s">
        <v>264</v>
      </c>
      <c r="X15" s="81">
        <f t="shared" si="0"/>
        <v>0</v>
      </c>
      <c r="Y15" s="81">
        <f t="shared" si="1"/>
        <v>0</v>
      </c>
      <c r="Z15" s="51">
        <f t="shared" si="2"/>
        <v>0</v>
      </c>
      <c r="AB15" s="2"/>
      <c r="AC15" s="2"/>
      <c r="AD15" s="2"/>
      <c r="AE15" s="5"/>
      <c r="AF15" s="5"/>
      <c r="AG15" s="5"/>
      <c r="AH15" s="8"/>
      <c r="AI15" s="9"/>
      <c r="AJ15" s="22"/>
      <c r="AN15" s="2" t="s">
        <v>254</v>
      </c>
      <c r="AO15" s="2">
        <f>SUM(AP15:AR15)</f>
        <v>1</v>
      </c>
      <c r="AP15" s="5">
        <f>COUNTIFS(I:I,AN15,J:J,AP$14)</f>
        <v>0</v>
      </c>
      <c r="AQ15" s="6">
        <f>COUNTIFS(I:I,AN15,J:J,AQ$14)</f>
        <v>0</v>
      </c>
      <c r="AR15" s="7">
        <f>COUNTIFS(I:I,AN15,J:J,AR$14)</f>
        <v>1</v>
      </c>
      <c r="AS15" s="8">
        <f>AP15*3+AQ15</f>
        <v>0</v>
      </c>
      <c r="AT15" s="11">
        <f>AP15/AO15</f>
        <v>0</v>
      </c>
      <c r="AU15" s="22">
        <f>AS15/AO15</f>
        <v>0</v>
      </c>
    </row>
    <row r="16" spans="1:47">
      <c r="A16" s="50"/>
      <c r="B16" s="24"/>
      <c r="C16" s="24"/>
      <c r="D16" s="24"/>
      <c r="E16" s="24"/>
      <c r="F16" s="24"/>
      <c r="G16" s="24"/>
      <c r="H16" s="24"/>
      <c r="I16" s="24"/>
      <c r="J16" s="41"/>
      <c r="K16" s="57"/>
      <c r="L16" s="58"/>
      <c r="M16" s="58"/>
      <c r="N16" s="58"/>
      <c r="O16" s="59"/>
      <c r="P16" s="60"/>
      <c r="Q16" s="61"/>
      <c r="R16" s="61"/>
      <c r="S16" s="61"/>
      <c r="T16" s="59"/>
      <c r="W16" s="70" t="s">
        <v>73</v>
      </c>
      <c r="X16" s="81">
        <f t="shared" si="0"/>
        <v>0</v>
      </c>
      <c r="Y16" s="81">
        <f t="shared" si="1"/>
        <v>0</v>
      </c>
      <c r="Z16" s="51">
        <f t="shared" si="2"/>
        <v>0</v>
      </c>
      <c r="AB16" s="89"/>
      <c r="AC16" s="89"/>
      <c r="AD16" s="89"/>
      <c r="AE16" s="89"/>
      <c r="AF16" s="89"/>
      <c r="AG16" s="89"/>
      <c r="AH16" s="89"/>
      <c r="AI16" s="89"/>
      <c r="AJ16" s="89"/>
      <c r="AN16" s="2"/>
      <c r="AO16" s="2"/>
      <c r="AP16" s="5"/>
      <c r="AQ16" s="6"/>
      <c r="AR16" s="7"/>
      <c r="AS16" s="8"/>
      <c r="AT16" s="11"/>
      <c r="AU16" s="22"/>
    </row>
    <row r="17" spans="1:47">
      <c r="A17" s="50"/>
      <c r="B17" s="24"/>
      <c r="C17" s="24"/>
      <c r="D17" s="24"/>
      <c r="E17" s="24"/>
      <c r="F17" s="24"/>
      <c r="G17" s="24"/>
      <c r="H17" s="24"/>
      <c r="I17" s="24"/>
      <c r="J17" s="41"/>
      <c r="K17" s="57"/>
      <c r="L17" s="58"/>
      <c r="M17" s="58"/>
      <c r="N17" s="58"/>
      <c r="O17" s="59"/>
      <c r="P17" s="60"/>
      <c r="Q17" s="61"/>
      <c r="R17" s="61"/>
      <c r="S17" s="61"/>
      <c r="T17" s="59"/>
      <c r="W17" s="70" t="s">
        <v>170</v>
      </c>
      <c r="X17" s="81">
        <f t="shared" si="0"/>
        <v>0</v>
      </c>
      <c r="Y17" s="81">
        <f t="shared" si="1"/>
        <v>1</v>
      </c>
      <c r="Z17" s="51">
        <f t="shared" si="2"/>
        <v>1</v>
      </c>
      <c r="AB17" s="1"/>
      <c r="AC17" s="1"/>
      <c r="AD17" s="1"/>
      <c r="AE17" s="85"/>
      <c r="AF17" s="85"/>
      <c r="AG17" s="85"/>
      <c r="AH17" s="1"/>
      <c r="AI17" s="86"/>
      <c r="AJ17" s="87"/>
      <c r="AN17" s="2"/>
      <c r="AO17" s="2"/>
      <c r="AP17" s="5"/>
      <c r="AQ17" s="6"/>
      <c r="AR17" s="7"/>
      <c r="AS17" s="8"/>
      <c r="AT17" s="11"/>
      <c r="AU17" s="22"/>
    </row>
    <row r="18" spans="1:47">
      <c r="A18" s="50"/>
      <c r="B18" s="24"/>
      <c r="C18" s="24"/>
      <c r="D18" s="24"/>
      <c r="E18" s="24"/>
      <c r="F18" s="24"/>
      <c r="G18" s="24"/>
      <c r="H18" s="24"/>
      <c r="I18" s="24"/>
      <c r="J18" s="41"/>
      <c r="K18" s="57"/>
      <c r="L18" s="58"/>
      <c r="M18" s="58"/>
      <c r="N18" s="58"/>
      <c r="O18" s="59"/>
      <c r="P18" s="60"/>
      <c r="Q18" s="61"/>
      <c r="R18" s="61"/>
      <c r="S18" s="61"/>
      <c r="T18" s="59"/>
      <c r="W18" s="70" t="s">
        <v>93</v>
      </c>
      <c r="X18" s="81">
        <f t="shared" si="0"/>
        <v>0</v>
      </c>
      <c r="Y18" s="81">
        <f t="shared" si="1"/>
        <v>1</v>
      </c>
      <c r="Z18" s="51">
        <f t="shared" si="2"/>
        <v>1</v>
      </c>
      <c r="AB18" s="1"/>
      <c r="AC18" s="1"/>
      <c r="AD18" s="1"/>
      <c r="AE18" s="85"/>
      <c r="AF18" s="85"/>
      <c r="AG18" s="85"/>
      <c r="AH18" s="1"/>
      <c r="AI18" s="86"/>
      <c r="AJ18" s="87"/>
      <c r="AN18" s="2"/>
      <c r="AO18" s="2"/>
      <c r="AP18" s="5"/>
      <c r="AQ18" s="6"/>
      <c r="AR18" s="7"/>
      <c r="AS18" s="8"/>
      <c r="AT18" s="11"/>
      <c r="AU18" s="22"/>
    </row>
    <row r="19" spans="1:47">
      <c r="A19" s="50"/>
      <c r="B19" s="24"/>
      <c r="C19" s="24"/>
      <c r="D19" s="24"/>
      <c r="E19" s="24"/>
      <c r="F19" s="24"/>
      <c r="G19" s="24"/>
      <c r="H19" s="24"/>
      <c r="I19" s="24"/>
      <c r="J19" s="41"/>
      <c r="K19" s="57"/>
      <c r="L19" s="58"/>
      <c r="M19" s="58"/>
      <c r="N19" s="58"/>
      <c r="O19" s="59"/>
      <c r="P19" s="60"/>
      <c r="Q19" s="61"/>
      <c r="R19" s="61"/>
      <c r="S19" s="61"/>
      <c r="T19" s="59"/>
      <c r="W19" s="70" t="s">
        <v>171</v>
      </c>
      <c r="X19" s="81">
        <f t="shared" si="0"/>
        <v>0</v>
      </c>
      <c r="Y19" s="81">
        <f t="shared" si="1"/>
        <v>0</v>
      </c>
      <c r="Z19" s="51">
        <f t="shared" si="2"/>
        <v>0</v>
      </c>
      <c r="AB19" s="1"/>
      <c r="AC19" s="1"/>
      <c r="AD19" s="1"/>
      <c r="AE19" s="85"/>
      <c r="AF19" s="85"/>
      <c r="AG19" s="85"/>
      <c r="AH19" s="1"/>
      <c r="AI19" s="86"/>
      <c r="AJ19" s="87"/>
      <c r="AN19" s="20"/>
      <c r="AO19" s="20"/>
      <c r="AP19" s="5"/>
      <c r="AQ19" s="6"/>
      <c r="AR19" s="7"/>
      <c r="AS19" s="26"/>
      <c r="AT19" s="11"/>
      <c r="AU19" s="25"/>
    </row>
    <row r="20" spans="1:47">
      <c r="A20" s="50"/>
      <c r="B20" s="24"/>
      <c r="C20" s="24"/>
      <c r="D20" s="24"/>
      <c r="E20" s="24"/>
      <c r="F20" s="24"/>
      <c r="G20" s="24"/>
      <c r="H20" s="24"/>
      <c r="I20" s="24"/>
      <c r="J20" s="41"/>
      <c r="K20" s="57"/>
      <c r="L20" s="58"/>
      <c r="M20" s="58"/>
      <c r="N20" s="58"/>
      <c r="O20" s="59"/>
      <c r="P20" s="60"/>
      <c r="Q20" s="61"/>
      <c r="R20" s="61"/>
      <c r="S20" s="61"/>
      <c r="T20" s="59"/>
      <c r="W20" s="70" t="s">
        <v>313</v>
      </c>
      <c r="X20" s="81">
        <f t="shared" si="0"/>
        <v>0</v>
      </c>
      <c r="Y20" s="81">
        <f t="shared" si="1"/>
        <v>0</v>
      </c>
      <c r="Z20" s="51">
        <f t="shared" si="2"/>
        <v>0</v>
      </c>
      <c r="AB20" s="1"/>
      <c r="AC20" s="1"/>
      <c r="AD20" s="1"/>
      <c r="AE20" s="85"/>
      <c r="AF20" s="85"/>
      <c r="AG20" s="85"/>
      <c r="AH20" s="1"/>
      <c r="AI20" s="86"/>
      <c r="AJ20" s="87"/>
      <c r="AN20" s="20"/>
      <c r="AO20" s="20"/>
      <c r="AP20" s="5"/>
      <c r="AQ20" s="6"/>
      <c r="AR20" s="7"/>
      <c r="AS20" s="26"/>
      <c r="AT20" s="11"/>
      <c r="AU20" s="25"/>
    </row>
    <row r="21" spans="1:47">
      <c r="A21" s="50"/>
      <c r="B21" s="24"/>
      <c r="C21" s="24"/>
      <c r="D21" s="24"/>
      <c r="E21" s="24"/>
      <c r="F21" s="24"/>
      <c r="G21" s="24"/>
      <c r="H21" s="24"/>
      <c r="I21" s="24"/>
      <c r="J21" s="41"/>
      <c r="K21" s="57"/>
      <c r="L21" s="58"/>
      <c r="M21" s="58"/>
      <c r="N21" s="58"/>
      <c r="O21" s="59"/>
      <c r="P21" s="60"/>
      <c r="Q21" s="61"/>
      <c r="R21" s="61"/>
      <c r="S21" s="61"/>
      <c r="T21" s="59"/>
      <c r="W21" s="70" t="s">
        <v>172</v>
      </c>
      <c r="X21" s="81">
        <f t="shared" si="0"/>
        <v>0</v>
      </c>
      <c r="Y21" s="81">
        <f t="shared" si="1"/>
        <v>0</v>
      </c>
      <c r="Z21" s="51">
        <f t="shared" si="2"/>
        <v>0</v>
      </c>
      <c r="AB21" s="1"/>
      <c r="AC21" s="88"/>
      <c r="AD21" s="1"/>
      <c r="AE21" s="85"/>
      <c r="AF21" s="85"/>
      <c r="AG21" s="85"/>
      <c r="AH21" s="1"/>
      <c r="AI21" s="86"/>
      <c r="AJ21" s="87"/>
      <c r="AN21" s="20"/>
      <c r="AO21" s="20"/>
      <c r="AP21" s="5"/>
      <c r="AQ21" s="6"/>
      <c r="AR21" s="7"/>
      <c r="AS21" s="26"/>
      <c r="AT21" s="11"/>
      <c r="AU21" s="25"/>
    </row>
    <row r="22" spans="1:47">
      <c r="A22" s="50"/>
      <c r="B22" s="24"/>
      <c r="C22" s="24"/>
      <c r="D22" s="24"/>
      <c r="E22" s="24"/>
      <c r="F22" s="24"/>
      <c r="G22" s="24"/>
      <c r="H22" s="24"/>
      <c r="I22" s="24"/>
      <c r="J22" s="41"/>
      <c r="K22" s="57"/>
      <c r="L22" s="58"/>
      <c r="M22" s="58"/>
      <c r="N22" s="58"/>
      <c r="O22" s="59"/>
      <c r="P22" s="60"/>
      <c r="Q22" s="61"/>
      <c r="R22" s="61"/>
      <c r="S22" s="61"/>
      <c r="T22" s="59"/>
      <c r="W22" s="70" t="s">
        <v>182</v>
      </c>
      <c r="X22" s="81">
        <f t="shared" si="0"/>
        <v>0</v>
      </c>
      <c r="Y22" s="81">
        <f t="shared" si="1"/>
        <v>0</v>
      </c>
      <c r="Z22" s="51">
        <f t="shared" si="2"/>
        <v>0</v>
      </c>
      <c r="AN22" s="20"/>
      <c r="AO22" s="20"/>
      <c r="AP22" s="5"/>
      <c r="AQ22" s="6"/>
      <c r="AR22" s="7"/>
      <c r="AS22" s="26"/>
      <c r="AT22" s="11"/>
      <c r="AU22" s="25"/>
    </row>
    <row r="23" spans="1:47">
      <c r="A23" s="50"/>
      <c r="B23" s="24"/>
      <c r="C23" s="24"/>
      <c r="D23" s="24"/>
      <c r="E23" s="24"/>
      <c r="F23" s="24"/>
      <c r="G23" s="24"/>
      <c r="H23" s="24"/>
      <c r="I23" s="24"/>
      <c r="J23" s="41"/>
      <c r="K23" s="57"/>
      <c r="L23" s="80"/>
      <c r="M23" s="58"/>
      <c r="N23" s="58"/>
      <c r="O23" s="59"/>
      <c r="P23" s="60"/>
      <c r="Q23" s="61"/>
      <c r="R23" s="61"/>
      <c r="S23" s="61"/>
      <c r="T23" s="59"/>
      <c r="W23" s="70" t="s">
        <v>183</v>
      </c>
      <c r="X23" s="81">
        <f t="shared" si="0"/>
        <v>0</v>
      </c>
      <c r="Y23" s="81">
        <f t="shared" si="1"/>
        <v>0</v>
      </c>
      <c r="Z23" s="51">
        <f t="shared" si="2"/>
        <v>0</v>
      </c>
      <c r="AN23" s="20"/>
      <c r="AO23" s="20"/>
      <c r="AP23" s="5"/>
      <c r="AQ23" s="6"/>
      <c r="AR23" s="7"/>
      <c r="AS23" s="26"/>
      <c r="AT23" s="11"/>
      <c r="AU23" s="25"/>
    </row>
    <row r="24" spans="1:47">
      <c r="A24" s="50"/>
      <c r="B24" s="24"/>
      <c r="C24" s="24"/>
      <c r="D24" s="24"/>
      <c r="E24" s="24"/>
      <c r="F24" s="24"/>
      <c r="G24" s="24"/>
      <c r="H24" s="24"/>
      <c r="I24" s="24"/>
      <c r="J24" s="41"/>
      <c r="K24" s="57"/>
      <c r="L24" s="58"/>
      <c r="M24" s="58"/>
      <c r="N24" s="58"/>
      <c r="O24" s="59"/>
      <c r="P24" s="60"/>
      <c r="Q24" s="61"/>
      <c r="R24" s="61"/>
      <c r="S24" s="61"/>
      <c r="T24" s="59"/>
      <c r="W24" s="70" t="s">
        <v>281</v>
      </c>
      <c r="X24" s="81">
        <f t="shared" si="0"/>
        <v>0</v>
      </c>
      <c r="Y24" s="81">
        <f t="shared" si="1"/>
        <v>0</v>
      </c>
      <c r="Z24" s="51">
        <f t="shared" si="2"/>
        <v>0</v>
      </c>
    </row>
    <row r="25" spans="1:47">
      <c r="A25" s="49"/>
      <c r="B25" s="30"/>
      <c r="C25" s="30"/>
      <c r="D25" s="30"/>
      <c r="E25" s="30"/>
      <c r="F25" s="30"/>
      <c r="G25" s="30"/>
      <c r="H25" s="30"/>
      <c r="I25" s="30"/>
      <c r="J25" s="40"/>
      <c r="K25" s="53"/>
      <c r="L25" s="15"/>
      <c r="M25" s="15"/>
      <c r="N25" s="15"/>
      <c r="O25" s="54"/>
      <c r="P25" s="55"/>
      <c r="Q25" s="56"/>
      <c r="R25" s="56"/>
      <c r="S25" s="56"/>
      <c r="T25" s="54"/>
      <c r="W25" s="70" t="s">
        <v>279</v>
      </c>
      <c r="X25" s="81">
        <f t="shared" si="0"/>
        <v>1</v>
      </c>
      <c r="Y25" s="81">
        <f t="shared" si="1"/>
        <v>0</v>
      </c>
      <c r="Z25" s="51">
        <f t="shared" si="2"/>
        <v>1</v>
      </c>
      <c r="AC25" s="4" t="s">
        <v>7</v>
      </c>
      <c r="AD25" s="4" t="s">
        <v>30</v>
      </c>
      <c r="AE25" s="4" t="s">
        <v>31</v>
      </c>
      <c r="AF25" s="4" t="s">
        <v>32</v>
      </c>
      <c r="AG25" s="4" t="s">
        <v>33</v>
      </c>
      <c r="AH25" s="4" t="s">
        <v>34</v>
      </c>
      <c r="AI25" s="4" t="s">
        <v>35</v>
      </c>
      <c r="AJ25" s="4" t="s">
        <v>8</v>
      </c>
      <c r="AK25" s="4" t="s">
        <v>9</v>
      </c>
      <c r="AL25" s="4" t="s">
        <v>36</v>
      </c>
      <c r="AM25" s="4" t="s">
        <v>37</v>
      </c>
      <c r="AN25" s="4" t="s">
        <v>38</v>
      </c>
      <c r="AO25" s="4" t="s">
        <v>39</v>
      </c>
    </row>
    <row r="26" spans="1:47">
      <c r="A26" s="49"/>
      <c r="B26" s="30"/>
      <c r="C26" s="30"/>
      <c r="D26" s="30"/>
      <c r="E26" s="30"/>
      <c r="F26" s="30"/>
      <c r="G26" s="30"/>
      <c r="H26" s="30"/>
      <c r="I26" s="30"/>
      <c r="J26" s="40"/>
      <c r="K26" s="53"/>
      <c r="L26" s="15"/>
      <c r="M26" s="15"/>
      <c r="N26" s="15"/>
      <c r="O26" s="54"/>
      <c r="P26" s="55"/>
      <c r="Q26" s="56"/>
      <c r="R26" s="56"/>
      <c r="S26" s="56"/>
      <c r="T26" s="54"/>
      <c r="W26" s="70" t="s">
        <v>112</v>
      </c>
      <c r="X26" s="81">
        <f t="shared" si="0"/>
        <v>0</v>
      </c>
      <c r="Y26" s="81">
        <f t="shared" si="1"/>
        <v>1</v>
      </c>
      <c r="Z26" s="51">
        <f t="shared" si="2"/>
        <v>1</v>
      </c>
      <c r="AC26" s="2" t="s">
        <v>45</v>
      </c>
      <c r="AD26" s="2">
        <f>SUM(AE26:AG26)</f>
        <v>2</v>
      </c>
      <c r="AE26" s="5">
        <f>COUNTIFS(D:D,AC26,J:J,AE25)</f>
        <v>2</v>
      </c>
      <c r="AF26" s="6">
        <f>COUNTIFS(D:D,AC26,J:J,AF25)</f>
        <v>0</v>
      </c>
      <c r="AG26" s="7">
        <f>COUNTIFS(D:D,AC26,J:J,AG25)</f>
        <v>0</v>
      </c>
      <c r="AH26" s="26">
        <f>AE26*3+AF26</f>
        <v>6</v>
      </c>
      <c r="AI26" s="10">
        <f>AE26/AD26</f>
        <v>1</v>
      </c>
      <c r="AJ26" s="2">
        <f>SUMIF(D:D,AC26,E:E)</f>
        <v>6</v>
      </c>
      <c r="AK26" s="2">
        <f>SUMIF(D:D,AC26,F:F)</f>
        <v>2</v>
      </c>
      <c r="AL26" s="2">
        <f>AJ26-AK26</f>
        <v>4</v>
      </c>
      <c r="AM26" s="22">
        <f>AH26/AD26</f>
        <v>3</v>
      </c>
      <c r="AN26" s="22">
        <f>AJ26/AD26</f>
        <v>3</v>
      </c>
      <c r="AO26" s="22">
        <f>AK26/AD26</f>
        <v>1</v>
      </c>
    </row>
    <row r="27" spans="1:47">
      <c r="A27" s="49"/>
      <c r="B27" s="30"/>
      <c r="C27" s="30"/>
      <c r="D27" s="30"/>
      <c r="E27" s="30"/>
      <c r="F27" s="30"/>
      <c r="G27" s="30"/>
      <c r="H27" s="30"/>
      <c r="I27" s="30"/>
      <c r="J27" s="40"/>
      <c r="K27" s="53"/>
      <c r="L27" s="15"/>
      <c r="M27" s="15"/>
      <c r="N27" s="15"/>
      <c r="O27" s="54"/>
      <c r="P27" s="55"/>
      <c r="Q27" s="56"/>
      <c r="R27" s="56"/>
      <c r="S27" s="56"/>
      <c r="T27" s="54"/>
      <c r="W27" s="70" t="s">
        <v>268</v>
      </c>
      <c r="X27" s="81">
        <f t="shared" si="0"/>
        <v>0</v>
      </c>
      <c r="Y27" s="81">
        <f t="shared" si="1"/>
        <v>0</v>
      </c>
      <c r="Z27" s="51">
        <f t="shared" si="2"/>
        <v>0</v>
      </c>
      <c r="AC27" s="2" t="s">
        <v>49</v>
      </c>
      <c r="AD27" s="2">
        <f>SUM(AE27:AG27)</f>
        <v>1</v>
      </c>
      <c r="AE27" s="5">
        <f>COUNTIFS(D:D,AC27,J:J,AE25)</f>
        <v>0</v>
      </c>
      <c r="AF27" s="6">
        <f>COUNTIFS(D:D,AC27,J:J,AF25)</f>
        <v>0</v>
      </c>
      <c r="AG27" s="7">
        <f>COUNTIFS(D:D,AC27,J:J,AG25)</f>
        <v>1</v>
      </c>
      <c r="AH27" s="26">
        <f>AE27*3+AF27</f>
        <v>0</v>
      </c>
      <c r="AI27" s="23">
        <f>AE27/AD27</f>
        <v>0</v>
      </c>
      <c r="AJ27" s="2">
        <f>SUMIF(D:D,AC27,E:E)</f>
        <v>1</v>
      </c>
      <c r="AK27" s="2">
        <f>SUMIF(D:D,AC27,F:F)</f>
        <v>3</v>
      </c>
      <c r="AL27" s="2">
        <f>AJ27-AK27</f>
        <v>-2</v>
      </c>
      <c r="AM27" s="22">
        <f>AH27/AD27</f>
        <v>0</v>
      </c>
      <c r="AN27" s="22">
        <f>AJ27/AD27</f>
        <v>1</v>
      </c>
      <c r="AO27" s="22">
        <f>AK27/AD27</f>
        <v>3</v>
      </c>
    </row>
    <row r="28" spans="1:47">
      <c r="A28" s="49"/>
      <c r="B28" s="30"/>
      <c r="C28" s="30"/>
      <c r="D28" s="30"/>
      <c r="E28" s="30"/>
      <c r="F28" s="30"/>
      <c r="G28" s="30"/>
      <c r="H28" s="30"/>
      <c r="I28" s="30"/>
      <c r="J28" s="40"/>
      <c r="K28" s="53"/>
      <c r="L28" s="15"/>
      <c r="M28" s="15"/>
      <c r="N28" s="15"/>
      <c r="O28" s="54"/>
      <c r="P28" s="55"/>
      <c r="Q28" s="56"/>
      <c r="R28" s="56"/>
      <c r="S28" s="56"/>
      <c r="T28" s="54"/>
      <c r="W28" s="70" t="s">
        <v>220</v>
      </c>
      <c r="X28" s="81">
        <f t="shared" si="0"/>
        <v>0</v>
      </c>
      <c r="Y28" s="81">
        <f t="shared" si="1"/>
        <v>0</v>
      </c>
      <c r="Z28" s="51">
        <f t="shared" si="2"/>
        <v>0</v>
      </c>
      <c r="AC28" s="13" t="s">
        <v>60</v>
      </c>
      <c r="AD28" s="13">
        <f>SUM(AD26:AD27)</f>
        <v>3</v>
      </c>
      <c r="AE28" s="13">
        <f>SUM(AE26:AE27)</f>
        <v>2</v>
      </c>
      <c r="AF28" s="13">
        <f>SUM(AF26:AF27)</f>
        <v>0</v>
      </c>
      <c r="AG28" s="13">
        <f>SUM(AG26:AG27)</f>
        <v>1</v>
      </c>
      <c r="AH28" s="13">
        <f>SUM(AH26:AH27)</f>
        <v>6</v>
      </c>
      <c r="AI28" s="14">
        <f>AE28/AD28</f>
        <v>0.66666666666666663</v>
      </c>
      <c r="AJ28" s="13">
        <f>SUM(AJ26:AJ27)</f>
        <v>7</v>
      </c>
      <c r="AK28" s="13">
        <f>SUM(AK26:AK27)</f>
        <v>5</v>
      </c>
      <c r="AL28" s="13">
        <f>SUM(AL26:AL27)</f>
        <v>2</v>
      </c>
      <c r="AM28" s="32">
        <f>AH28/AD28</f>
        <v>2</v>
      </c>
      <c r="AN28" s="32">
        <f>AJ28/AD28</f>
        <v>2.3333333333333335</v>
      </c>
      <c r="AO28" s="32">
        <f>AK28/AD28</f>
        <v>1.6666666666666667</v>
      </c>
    </row>
    <row r="29" spans="1:47">
      <c r="A29" s="49"/>
      <c r="B29" s="30"/>
      <c r="C29" s="30"/>
      <c r="D29" s="30"/>
      <c r="E29" s="30"/>
      <c r="F29" s="30"/>
      <c r="G29" s="30"/>
      <c r="H29" s="30"/>
      <c r="I29" s="30"/>
      <c r="J29" s="40"/>
      <c r="K29" s="53"/>
      <c r="L29" s="15"/>
      <c r="M29" s="15"/>
      <c r="N29" s="15"/>
      <c r="O29" s="54"/>
      <c r="P29" s="55"/>
      <c r="Q29" s="56"/>
      <c r="R29" s="56"/>
      <c r="S29" s="56"/>
      <c r="T29" s="54"/>
      <c r="W29" s="84" t="s">
        <v>318</v>
      </c>
      <c r="X29" s="81">
        <f t="shared" si="0"/>
        <v>0</v>
      </c>
      <c r="Y29" s="81">
        <f t="shared" si="1"/>
        <v>0</v>
      </c>
      <c r="Z29" s="51">
        <f t="shared" si="2"/>
        <v>0</v>
      </c>
      <c r="AC29" s="4" t="s">
        <v>66</v>
      </c>
      <c r="AD29" s="4" t="s">
        <v>30</v>
      </c>
      <c r="AE29" s="4" t="s">
        <v>31</v>
      </c>
      <c r="AF29" s="4" t="s">
        <v>32</v>
      </c>
      <c r="AG29" s="4" t="s">
        <v>33</v>
      </c>
      <c r="AH29" s="4" t="s">
        <v>34</v>
      </c>
      <c r="AI29" s="4" t="s">
        <v>35</v>
      </c>
      <c r="AJ29" s="4" t="s">
        <v>8</v>
      </c>
      <c r="AK29" s="4" t="s">
        <v>9</v>
      </c>
      <c r="AL29" s="4" t="s">
        <v>36</v>
      </c>
    </row>
    <row r="30" spans="1:47">
      <c r="A30" s="49"/>
      <c r="B30" s="30"/>
      <c r="C30" s="30"/>
      <c r="D30" s="30"/>
      <c r="E30" s="30"/>
      <c r="F30" s="30"/>
      <c r="G30" s="30"/>
      <c r="H30" s="30"/>
      <c r="I30" s="30"/>
      <c r="J30" s="40"/>
      <c r="K30" s="53"/>
      <c r="L30" s="15"/>
      <c r="M30" s="15"/>
      <c r="N30" s="15"/>
      <c r="O30" s="54"/>
      <c r="P30" s="55"/>
      <c r="Q30" s="56"/>
      <c r="R30" s="56"/>
      <c r="S30" s="56"/>
      <c r="T30" s="54"/>
      <c r="W30" s="71" t="s">
        <v>177</v>
      </c>
      <c r="X30" s="81">
        <f t="shared" si="0"/>
        <v>0</v>
      </c>
      <c r="Y30" s="81">
        <f t="shared" si="1"/>
        <v>0</v>
      </c>
      <c r="Z30" s="51">
        <f t="shared" si="2"/>
        <v>0</v>
      </c>
      <c r="AC30" s="2" t="s">
        <v>139</v>
      </c>
      <c r="AD30" s="2">
        <f>SUM(AE30:AG30)</f>
        <v>1</v>
      </c>
      <c r="AE30" s="5">
        <f>COUNTIFS(C:C,AC30,J:J,"승")</f>
        <v>1</v>
      </c>
      <c r="AF30" s="6">
        <f>COUNTIFS(C:C,AC30,J:J,"무")</f>
        <v>0</v>
      </c>
      <c r="AG30" s="7">
        <f>COUNTIFS(C:C,AC30,J:J,"패")</f>
        <v>0</v>
      </c>
      <c r="AH30" s="26">
        <f>AE30*3+AF30</f>
        <v>3</v>
      </c>
      <c r="AI30" s="23">
        <f>AE30/AD30</f>
        <v>1</v>
      </c>
      <c r="AJ30" s="2">
        <f>SUMIF(C:C,AC30,E:E)</f>
        <v>3</v>
      </c>
      <c r="AK30" s="2">
        <f>SUMIF(C:C,AC30,F:F)</f>
        <v>0</v>
      </c>
      <c r="AL30" s="2">
        <f>AJ30-AK30</f>
        <v>3</v>
      </c>
    </row>
    <row r="31" spans="1:47">
      <c r="A31" s="49"/>
      <c r="B31" s="30"/>
      <c r="C31" s="30"/>
      <c r="D31" s="30"/>
      <c r="E31" s="30"/>
      <c r="F31" s="30"/>
      <c r="G31" s="30"/>
      <c r="H31" s="30"/>
      <c r="I31" s="30"/>
      <c r="J31" s="40"/>
      <c r="K31" s="53"/>
      <c r="L31" s="15"/>
      <c r="M31" s="15"/>
      <c r="N31" s="15"/>
      <c r="O31" s="54"/>
      <c r="P31" s="55"/>
      <c r="Q31" s="56"/>
      <c r="R31" s="56"/>
      <c r="S31" s="56"/>
      <c r="T31" s="54"/>
      <c r="W31" s="71" t="s">
        <v>278</v>
      </c>
      <c r="X31" s="81">
        <f t="shared" si="0"/>
        <v>0</v>
      </c>
      <c r="Y31" s="81">
        <f t="shared" si="1"/>
        <v>0</v>
      </c>
      <c r="Z31" s="51">
        <f t="shared" si="2"/>
        <v>0</v>
      </c>
      <c r="AC31" s="2" t="s">
        <v>142</v>
      </c>
      <c r="AD31" s="2">
        <f>SUM(AE31:AG31)</f>
        <v>1</v>
      </c>
      <c r="AE31" s="5">
        <f>COUNTIFS(C:C,AC31,J:J,"승")</f>
        <v>1</v>
      </c>
      <c r="AF31" s="6">
        <f>COUNTIFS(C:C,AC31,J:J,"무")</f>
        <v>0</v>
      </c>
      <c r="AG31" s="7">
        <f>COUNTIFS(C:C,AC31,J:J,"패")</f>
        <v>0</v>
      </c>
      <c r="AH31" s="26">
        <f>AE31*3+AF31</f>
        <v>3</v>
      </c>
      <c r="AI31" s="23">
        <f>AE31/AD31</f>
        <v>1</v>
      </c>
      <c r="AJ31" s="2">
        <f>SUMIF(C:C,AC31,E:E)</f>
        <v>3</v>
      </c>
      <c r="AK31" s="2">
        <f>SUMIF(C:C,AC31,F:F)</f>
        <v>2</v>
      </c>
      <c r="AL31" s="2">
        <f>AJ31-AK31</f>
        <v>1</v>
      </c>
    </row>
    <row r="32" spans="1:47">
      <c r="A32" s="49"/>
      <c r="B32" s="30"/>
      <c r="C32" s="30"/>
      <c r="D32" s="30"/>
      <c r="E32" s="30"/>
      <c r="F32" s="30"/>
      <c r="G32" s="30"/>
      <c r="H32" s="30"/>
      <c r="I32" s="30"/>
      <c r="J32" s="40"/>
      <c r="K32" s="53"/>
      <c r="L32" s="15"/>
      <c r="M32" s="15"/>
      <c r="N32" s="15"/>
      <c r="O32" s="54"/>
      <c r="P32" s="55"/>
      <c r="Q32" s="56"/>
      <c r="R32" s="56"/>
      <c r="S32" s="56"/>
      <c r="T32" s="54"/>
      <c r="W32" s="71" t="s">
        <v>189</v>
      </c>
      <c r="X32" s="81">
        <f t="shared" si="0"/>
        <v>0</v>
      </c>
      <c r="Y32" s="81">
        <f t="shared" si="1"/>
        <v>0</v>
      </c>
      <c r="Z32" s="51">
        <f t="shared" si="2"/>
        <v>0</v>
      </c>
      <c r="AC32" s="2" t="s">
        <v>67</v>
      </c>
      <c r="AD32" s="2">
        <f>SUM(AE32:AG32)</f>
        <v>1</v>
      </c>
      <c r="AE32" s="5">
        <f>COUNTIFS(C:C,AC32,J:J,"승")</f>
        <v>0</v>
      </c>
      <c r="AF32" s="6">
        <f>COUNTIFS(C:C,AC32,J:J,"무")</f>
        <v>0</v>
      </c>
      <c r="AG32" s="7">
        <f>COUNTIFS(C:C,AC32,J:J,"패")</f>
        <v>1</v>
      </c>
      <c r="AH32" s="26">
        <f>AE32*3+AF32</f>
        <v>0</v>
      </c>
      <c r="AI32" s="23">
        <f>AE32/AD32</f>
        <v>0</v>
      </c>
      <c r="AJ32" s="2">
        <f>SUMIF(C:C,AC32,E:E)</f>
        <v>1</v>
      </c>
      <c r="AK32" s="2">
        <f>SUMIF(C:C,AC32,F:F)</f>
        <v>3</v>
      </c>
      <c r="AL32" s="2">
        <f>AJ32-AK32</f>
        <v>-2</v>
      </c>
    </row>
    <row r="33" spans="1:38">
      <c r="A33" s="49"/>
      <c r="B33" s="30"/>
      <c r="C33" s="30"/>
      <c r="D33" s="30"/>
      <c r="E33" s="30"/>
      <c r="F33" s="30"/>
      <c r="G33" s="30"/>
      <c r="H33" s="30"/>
      <c r="I33" s="30"/>
      <c r="J33" s="40"/>
      <c r="K33" s="53"/>
      <c r="L33" s="15"/>
      <c r="M33" s="15"/>
      <c r="N33" s="15"/>
      <c r="O33" s="54"/>
      <c r="P33" s="55"/>
      <c r="Q33" s="56"/>
      <c r="R33" s="56"/>
      <c r="S33" s="56"/>
      <c r="T33" s="54"/>
      <c r="W33" s="71" t="s">
        <v>97</v>
      </c>
      <c r="X33" s="81">
        <f t="shared" si="0"/>
        <v>0</v>
      </c>
      <c r="Y33" s="81">
        <f t="shared" si="1"/>
        <v>0</v>
      </c>
      <c r="Z33" s="51">
        <f t="shared" si="2"/>
        <v>0</v>
      </c>
      <c r="AC33" s="2"/>
      <c r="AD33" s="2"/>
      <c r="AE33" s="5"/>
      <c r="AF33" s="6"/>
      <c r="AG33" s="7"/>
      <c r="AH33" s="26"/>
      <c r="AI33" s="23"/>
      <c r="AJ33" s="2"/>
      <c r="AK33" s="2"/>
      <c r="AL33" s="2"/>
    </row>
    <row r="34" spans="1:38">
      <c r="A34" s="49"/>
      <c r="B34" s="30"/>
      <c r="C34" s="30"/>
      <c r="D34" s="30"/>
      <c r="E34" s="30"/>
      <c r="F34" s="30"/>
      <c r="G34" s="30"/>
      <c r="H34" s="30"/>
      <c r="I34" s="30"/>
      <c r="J34" s="40"/>
      <c r="K34" s="53"/>
      <c r="L34" s="15"/>
      <c r="M34" s="15"/>
      <c r="N34" s="15"/>
      <c r="O34" s="54"/>
      <c r="P34" s="55"/>
      <c r="Q34" s="56"/>
      <c r="R34" s="56"/>
      <c r="S34" s="56"/>
      <c r="T34" s="54"/>
      <c r="W34" s="71" t="s">
        <v>280</v>
      </c>
      <c r="X34" s="81">
        <f t="shared" si="0"/>
        <v>0</v>
      </c>
      <c r="Y34" s="81">
        <f t="shared" si="1"/>
        <v>0</v>
      </c>
      <c r="Z34" s="51">
        <f t="shared" si="2"/>
        <v>0</v>
      </c>
      <c r="AC34" s="2"/>
      <c r="AD34" s="2"/>
      <c r="AE34" s="5"/>
      <c r="AF34" s="6"/>
      <c r="AG34" s="7"/>
      <c r="AH34" s="26"/>
      <c r="AI34" s="23"/>
      <c r="AJ34" s="2"/>
      <c r="AK34" s="2"/>
      <c r="AL34" s="2"/>
    </row>
    <row r="35" spans="1:38">
      <c r="A35" s="49"/>
      <c r="B35" s="30"/>
      <c r="C35" s="30"/>
      <c r="D35" s="30"/>
      <c r="E35" s="30"/>
      <c r="F35" s="30"/>
      <c r="G35" s="30"/>
      <c r="H35" s="30"/>
      <c r="I35" s="30"/>
      <c r="J35" s="40"/>
      <c r="K35" s="53"/>
      <c r="L35" s="15"/>
      <c r="M35" s="15"/>
      <c r="N35" s="15"/>
      <c r="O35" s="54"/>
      <c r="P35" s="55"/>
      <c r="Q35" s="56"/>
      <c r="R35" s="56"/>
      <c r="S35" s="56"/>
      <c r="T35" s="54"/>
      <c r="W35" s="71" t="s">
        <v>105</v>
      </c>
      <c r="X35" s="81">
        <f t="shared" si="0"/>
        <v>0</v>
      </c>
      <c r="Y35" s="81">
        <f t="shared" si="1"/>
        <v>0</v>
      </c>
      <c r="Z35" s="51">
        <f t="shared" si="2"/>
        <v>0</v>
      </c>
      <c r="AC35" s="2"/>
      <c r="AD35" s="2"/>
      <c r="AE35" s="5"/>
      <c r="AF35" s="6"/>
      <c r="AG35" s="7"/>
      <c r="AH35" s="26"/>
      <c r="AI35" s="23"/>
      <c r="AJ35" s="2"/>
      <c r="AK35" s="2"/>
      <c r="AL35" s="2"/>
    </row>
    <row r="36" spans="1:38">
      <c r="A36" s="35"/>
      <c r="B36" s="24"/>
      <c r="C36" s="24"/>
      <c r="D36" s="24"/>
      <c r="E36" s="24"/>
      <c r="F36" s="24"/>
      <c r="G36" s="24"/>
      <c r="H36" s="24"/>
      <c r="I36" s="24"/>
      <c r="J36" s="41"/>
      <c r="K36" s="57"/>
      <c r="L36" s="58"/>
      <c r="M36" s="58"/>
      <c r="N36" s="58"/>
      <c r="O36" s="59"/>
      <c r="P36" s="60"/>
      <c r="Q36" s="61"/>
      <c r="R36" s="61"/>
      <c r="S36" s="61"/>
      <c r="T36" s="59"/>
      <c r="W36" s="71" t="s">
        <v>178</v>
      </c>
      <c r="X36" s="81">
        <f t="shared" si="0"/>
        <v>0</v>
      </c>
      <c r="Y36" s="81">
        <f t="shared" si="1"/>
        <v>0</v>
      </c>
      <c r="Z36" s="51">
        <f t="shared" si="2"/>
        <v>0</v>
      </c>
      <c r="AC36" s="2"/>
      <c r="AD36" s="2"/>
      <c r="AE36" s="5"/>
      <c r="AF36" s="6"/>
      <c r="AG36" s="7"/>
      <c r="AH36" s="26"/>
      <c r="AI36" s="23"/>
      <c r="AJ36" s="2"/>
      <c r="AK36" s="2"/>
      <c r="AL36" s="2"/>
    </row>
    <row r="37" spans="1:38">
      <c r="A37" s="35"/>
      <c r="B37" s="24"/>
      <c r="C37" s="24"/>
      <c r="D37" s="24"/>
      <c r="E37" s="24"/>
      <c r="F37" s="24"/>
      <c r="G37" s="24"/>
      <c r="H37" s="24"/>
      <c r="I37" s="24"/>
      <c r="J37" s="41"/>
      <c r="K37" s="57"/>
      <c r="L37" s="58"/>
      <c r="M37" s="58"/>
      <c r="N37" s="58"/>
      <c r="O37" s="59"/>
      <c r="P37" s="60"/>
      <c r="Q37" s="61"/>
      <c r="R37" s="61"/>
      <c r="S37" s="61"/>
      <c r="T37" s="59"/>
      <c r="W37" s="68" t="s">
        <v>107</v>
      </c>
      <c r="X37" s="81">
        <f t="shared" si="0"/>
        <v>0</v>
      </c>
      <c r="Y37" s="81">
        <f t="shared" si="1"/>
        <v>0</v>
      </c>
      <c r="Z37" s="51">
        <f t="shared" si="2"/>
        <v>0</v>
      </c>
      <c r="AC37" s="2"/>
      <c r="AD37" s="2"/>
      <c r="AE37" s="5"/>
      <c r="AF37" s="6"/>
      <c r="AG37" s="7"/>
      <c r="AH37" s="26"/>
      <c r="AI37" s="23"/>
      <c r="AJ37" s="2"/>
      <c r="AK37" s="2"/>
      <c r="AL37" s="2"/>
    </row>
    <row r="38" spans="1:38">
      <c r="A38" s="35"/>
      <c r="B38" s="24"/>
      <c r="C38" s="24"/>
      <c r="D38" s="24"/>
      <c r="E38" s="24"/>
      <c r="F38" s="24"/>
      <c r="G38" s="24"/>
      <c r="H38" s="24"/>
      <c r="I38" s="24"/>
      <c r="J38" s="41"/>
      <c r="K38" s="62"/>
      <c r="L38" s="58"/>
      <c r="M38" s="58"/>
      <c r="N38" s="58"/>
      <c r="O38" s="59"/>
      <c r="P38" s="60"/>
      <c r="Q38" s="61"/>
      <c r="R38" s="61"/>
      <c r="S38" s="61"/>
      <c r="T38" s="59"/>
      <c r="W38" s="68" t="s">
        <v>108</v>
      </c>
      <c r="X38" s="81">
        <f t="shared" si="0"/>
        <v>0</v>
      </c>
      <c r="Y38" s="81">
        <f t="shared" si="1"/>
        <v>0</v>
      </c>
      <c r="Z38" s="51">
        <f t="shared" si="2"/>
        <v>0</v>
      </c>
      <c r="AC38" s="2"/>
      <c r="AD38" s="2"/>
      <c r="AE38" s="5"/>
      <c r="AF38" s="6"/>
      <c r="AG38" s="7"/>
      <c r="AH38" s="26"/>
      <c r="AI38" s="23"/>
      <c r="AJ38" s="2"/>
      <c r="AK38" s="2"/>
      <c r="AL38" s="2"/>
    </row>
    <row r="39" spans="1:38">
      <c r="A39" s="35"/>
      <c r="B39" s="24"/>
      <c r="C39" s="24"/>
      <c r="D39" s="24"/>
      <c r="E39" s="24"/>
      <c r="F39" s="24"/>
      <c r="G39" s="24"/>
      <c r="H39" s="24"/>
      <c r="I39" s="24"/>
      <c r="J39" s="41"/>
      <c r="K39" s="57"/>
      <c r="L39" s="58"/>
      <c r="M39" s="58"/>
      <c r="N39" s="58"/>
      <c r="O39" s="59"/>
      <c r="P39" s="60"/>
      <c r="Q39" s="61"/>
      <c r="R39" s="61"/>
      <c r="S39" s="61"/>
      <c r="T39" s="59"/>
      <c r="W39" s="68" t="s">
        <v>179</v>
      </c>
      <c r="X39" s="81">
        <f t="shared" si="0"/>
        <v>0</v>
      </c>
      <c r="Y39" s="81">
        <f t="shared" si="1"/>
        <v>0</v>
      </c>
      <c r="Z39" s="51">
        <f t="shared" si="2"/>
        <v>0</v>
      </c>
      <c r="AC39" s="2"/>
      <c r="AD39" s="2"/>
      <c r="AE39" s="5"/>
      <c r="AF39" s="6"/>
      <c r="AG39" s="7"/>
      <c r="AH39" s="26"/>
      <c r="AI39" s="23"/>
      <c r="AJ39" s="2"/>
      <c r="AK39" s="2"/>
      <c r="AL39" s="2"/>
    </row>
    <row r="40" spans="1:38" ht="17.5" customHeight="1" thickBot="1">
      <c r="A40" s="36"/>
      <c r="B40" s="37"/>
      <c r="C40" s="37"/>
      <c r="D40" s="37"/>
      <c r="E40" s="37"/>
      <c r="F40" s="37"/>
      <c r="G40" s="37"/>
      <c r="H40" s="37"/>
      <c r="I40" s="37"/>
      <c r="J40" s="42"/>
      <c r="K40" s="63"/>
      <c r="L40" s="64"/>
      <c r="M40" s="64"/>
      <c r="N40" s="64"/>
      <c r="O40" s="65"/>
      <c r="P40" s="66"/>
      <c r="Q40" s="67"/>
      <c r="R40" s="67"/>
      <c r="S40" s="67"/>
      <c r="T40" s="65"/>
      <c r="W40" s="69" t="s">
        <v>284</v>
      </c>
      <c r="X40" s="82">
        <f t="shared" si="0"/>
        <v>0</v>
      </c>
      <c r="Y40" s="81">
        <f t="shared" si="1"/>
        <v>0</v>
      </c>
      <c r="Z40" s="51">
        <f t="shared" si="2"/>
        <v>0</v>
      </c>
      <c r="AC40" s="2"/>
      <c r="AD40" s="2"/>
      <c r="AE40" s="5"/>
      <c r="AF40" s="6"/>
      <c r="AG40" s="7"/>
      <c r="AH40" s="26"/>
      <c r="AI40" s="23"/>
      <c r="AJ40" s="2"/>
      <c r="AK40" s="2"/>
      <c r="AL40" s="2"/>
    </row>
  </sheetData>
  <autoFilter ref="A2:T40" xr:uid="{00000000-0009-0000-0000-00000D000000}"/>
  <phoneticPr fontId="3" type="noConversion"/>
  <conditionalFormatting sqref="AI30:AI40">
    <cfRule type="cellIs" dxfId="14" priority="7" operator="greaterThan">
      <formula>0.5</formula>
    </cfRule>
  </conditionalFormatting>
  <conditionalFormatting sqref="AS3:AS11">
    <cfRule type="top10" dxfId="13" priority="6" percent="1" rank="5"/>
  </conditionalFormatting>
  <conditionalFormatting sqref="AS12:AS13">
    <cfRule type="top10" dxfId="12" priority="1" percent="1" rank="5"/>
  </conditionalFormatting>
  <conditionalFormatting sqref="AS15:AS23">
    <cfRule type="top10" dxfId="11" priority="4" percent="1" rank="10"/>
    <cfRule type="top10" dxfId="10" priority="5" percent="1" rank="5"/>
  </conditionalFormatting>
  <conditionalFormatting sqref="AU3:AU11">
    <cfRule type="aboveAverage" dxfId="9" priority="8"/>
    <cfRule type="top10" dxfId="8" priority="11" percent="1" rank="10"/>
  </conditionalFormatting>
  <conditionalFormatting sqref="AU12:AU13">
    <cfRule type="aboveAverage" dxfId="7" priority="2"/>
    <cfRule type="top10" dxfId="6" priority="3" percent="1" rank="10"/>
  </conditionalFormatting>
  <conditionalFormatting sqref="AU15:AU23">
    <cfRule type="aboveAverage" dxfId="5" priority="9"/>
    <cfRule type="top10" dxfId="4" priority="10" percent="1" rank="10"/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40"/>
  <sheetViews>
    <sheetView showGridLines="0" zoomScale="85" zoomScaleNormal="85" workbookViewId="0">
      <selection activeCell="Z27" sqref="Z27"/>
    </sheetView>
  </sheetViews>
  <sheetFormatPr defaultRowHeight="17"/>
  <cols>
    <col min="1" max="1" width="10" style="18" bestFit="1" customWidth="1"/>
    <col min="2" max="2" width="6.5" style="18" bestFit="1" customWidth="1"/>
    <col min="3" max="3" width="6.33203125" style="18" bestFit="1" customWidth="1"/>
    <col min="4" max="4" width="7.08203125" style="18" bestFit="1" customWidth="1"/>
    <col min="5" max="7" width="5.5" style="18" bestFit="1" customWidth="1"/>
    <col min="8" max="8" width="9.25" style="18" hidden="1" customWidth="1"/>
    <col min="9" max="9" width="7.08203125" style="18" hidden="1" customWidth="1"/>
    <col min="10" max="10" width="7.33203125" style="18" hidden="1" customWidth="1"/>
    <col min="11" max="13" width="11" style="452" bestFit="1" customWidth="1"/>
    <col min="14" max="15" width="6.58203125" style="452" bestFit="1" customWidth="1"/>
    <col min="16" max="16" width="11" style="452" bestFit="1" customWidth="1"/>
    <col min="17" max="20" width="6.58203125" style="452" bestFit="1" customWidth="1"/>
    <col min="21" max="21" width="3.25" style="452" bestFit="1" customWidth="1"/>
    <col min="22" max="22" width="3.33203125" style="452" bestFit="1" customWidth="1"/>
    <col min="23" max="23" width="11" style="452" bestFit="1" customWidth="1"/>
    <col min="24" max="24" width="7.33203125" style="452" bestFit="1" customWidth="1"/>
    <col min="25" max="25" width="3.5" style="452" customWidth="1"/>
    <col min="26" max="26" width="11" style="452" bestFit="1" customWidth="1"/>
    <col min="27" max="27" width="5.5" style="452" bestFit="1" customWidth="1"/>
    <col min="28" max="28" width="9.25" style="452" bestFit="1" customWidth="1"/>
    <col min="29" max="29" width="8.25" style="452" bestFit="1" customWidth="1"/>
    <col min="30" max="30" width="9.25" style="452" bestFit="1" customWidth="1"/>
    <col min="31" max="31" width="3.58203125" style="452" bestFit="1" customWidth="1"/>
    <col min="32" max="33" width="3.25" style="452" bestFit="1" customWidth="1"/>
    <col min="34" max="34" width="3.58203125" style="452" bestFit="1" customWidth="1"/>
    <col min="35" max="35" width="6" style="452" bestFit="1" customWidth="1"/>
    <col min="36" max="36" width="8.58203125" style="452" bestFit="1" customWidth="1"/>
  </cols>
  <sheetData>
    <row r="1" spans="1:48" ht="17.5" customHeight="1" thickBot="1"/>
    <row r="2" spans="1:48">
      <c r="A2" s="33" t="s">
        <v>3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9</v>
      </c>
      <c r="G2" s="39" t="s">
        <v>10</v>
      </c>
      <c r="H2" s="34" t="s">
        <v>11</v>
      </c>
      <c r="I2" s="34" t="s">
        <v>12</v>
      </c>
      <c r="J2" s="34" t="s">
        <v>13</v>
      </c>
      <c r="K2" s="44" t="s">
        <v>14</v>
      </c>
      <c r="L2" s="45" t="s">
        <v>15</v>
      </c>
      <c r="M2" s="45" t="s">
        <v>16</v>
      </c>
      <c r="N2" s="45" t="s">
        <v>17</v>
      </c>
      <c r="O2" s="46" t="s">
        <v>243</v>
      </c>
      <c r="P2" s="47" t="s">
        <v>18</v>
      </c>
      <c r="Q2" s="48" t="s">
        <v>19</v>
      </c>
      <c r="R2" s="48" t="s">
        <v>20</v>
      </c>
      <c r="S2" s="48" t="s">
        <v>21</v>
      </c>
      <c r="T2" s="43" t="s">
        <v>244</v>
      </c>
      <c r="W2" s="33" t="s">
        <v>24</v>
      </c>
      <c r="X2" s="38" t="s">
        <v>8</v>
      </c>
      <c r="Y2" s="1"/>
      <c r="Z2" s="33" t="s">
        <v>24</v>
      </c>
      <c r="AA2" s="38" t="s">
        <v>28</v>
      </c>
      <c r="AD2" s="4" t="s">
        <v>11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138</v>
      </c>
      <c r="AO2" s="4" t="s">
        <v>245</v>
      </c>
      <c r="AP2" s="4" t="s">
        <v>30</v>
      </c>
      <c r="AQ2" s="4" t="s">
        <v>31</v>
      </c>
      <c r="AR2" s="4" t="s">
        <v>32</v>
      </c>
      <c r="AS2" s="4" t="s">
        <v>33</v>
      </c>
      <c r="AT2" s="4" t="s">
        <v>34</v>
      </c>
      <c r="AU2" s="4" t="s">
        <v>35</v>
      </c>
      <c r="AV2" s="4" t="s">
        <v>138</v>
      </c>
    </row>
    <row r="3" spans="1:48">
      <c r="A3" s="49"/>
      <c r="B3" s="73">
        <v>1</v>
      </c>
      <c r="C3" s="73" t="s">
        <v>142</v>
      </c>
      <c r="D3" s="73" t="s">
        <v>45</v>
      </c>
      <c r="E3" s="73">
        <v>1</v>
      </c>
      <c r="F3" s="73">
        <v>0</v>
      </c>
      <c r="G3" s="74" t="s">
        <v>31</v>
      </c>
      <c r="H3" s="73"/>
      <c r="I3" s="73"/>
      <c r="J3" s="73"/>
      <c r="K3" s="75" t="s">
        <v>46</v>
      </c>
      <c r="L3" s="76"/>
      <c r="M3" s="76"/>
      <c r="N3" s="76"/>
      <c r="O3" s="77"/>
      <c r="P3" s="78"/>
      <c r="Q3" s="79"/>
      <c r="R3" s="79"/>
      <c r="S3" s="79"/>
      <c r="T3" s="77"/>
      <c r="W3" s="72" t="s">
        <v>300</v>
      </c>
      <c r="X3" s="51">
        <f t="shared" ref="X3:X37" si="0">COUNTIF(K$3:O$40,W3)</f>
        <v>4</v>
      </c>
      <c r="Y3" s="1"/>
      <c r="Z3" s="72" t="s">
        <v>300</v>
      </c>
      <c r="AA3" s="51">
        <f t="shared" ref="AA3:AA37" si="1">COUNTIF(P$3:T$40,Z3)</f>
        <v>0</v>
      </c>
      <c r="AD3" s="20" t="s">
        <v>250</v>
      </c>
      <c r="AE3" s="20">
        <f>SUM(AF3:AH3)</f>
        <v>0</v>
      </c>
      <c r="AF3" s="28">
        <f>COUNTIFS(H:H,AD3,G:G,AF$2)</f>
        <v>0</v>
      </c>
      <c r="AG3" s="28">
        <f>COUNTIFS(H:H,AD3,G:G,AG$2)</f>
        <v>0</v>
      </c>
      <c r="AH3" s="29">
        <f>COUNTIFS(H:H,AD3,G:G,AH$2)</f>
        <v>0</v>
      </c>
      <c r="AI3" s="8">
        <f>AF3*3+AG3</f>
        <v>0</v>
      </c>
      <c r="AJ3" s="23" t="e">
        <f>AF3/AE3</f>
        <v>#DIV/0!</v>
      </c>
      <c r="AK3" s="25" t="e">
        <f>AI3/AE3</f>
        <v>#DIV/0!</v>
      </c>
      <c r="AO3" s="2" t="s">
        <v>251</v>
      </c>
      <c r="AP3" s="2">
        <f t="shared" ref="AP3:AP13" si="2">SUM(AQ3:AS3)</f>
        <v>0</v>
      </c>
      <c r="AQ3" s="5">
        <f t="shared" ref="AQ3:AQ13" si="3">COUNTIFS(I:I,AO3,G:G,AQ$2)</f>
        <v>0</v>
      </c>
      <c r="AR3" s="6">
        <f t="shared" ref="AR3:AR13" si="4">COUNTIFS(I:I,AO3,G:G,AR$2)</f>
        <v>0</v>
      </c>
      <c r="AS3" s="7">
        <f t="shared" ref="AS3:AS13" si="5">COUNTIFS(I:I,AO3,G:G,AS$2)</f>
        <v>0</v>
      </c>
      <c r="AT3" s="26">
        <f t="shared" ref="AT3:AT13" si="6">AQ3*3+AR3</f>
        <v>0</v>
      </c>
      <c r="AU3" s="11" t="e">
        <f t="shared" ref="AU3:AU13" si="7">AQ3/AP3</f>
        <v>#DIV/0!</v>
      </c>
      <c r="AV3" s="22" t="e">
        <f t="shared" ref="AV3:AV13" si="8">AT3/AP3</f>
        <v>#DIV/0!</v>
      </c>
    </row>
    <row r="4" spans="1:48">
      <c r="A4" s="49"/>
      <c r="B4" s="73">
        <v>2</v>
      </c>
      <c r="C4" s="73" t="s">
        <v>44</v>
      </c>
      <c r="D4" s="73" t="s">
        <v>45</v>
      </c>
      <c r="E4" s="73">
        <v>1</v>
      </c>
      <c r="F4" s="73">
        <v>1</v>
      </c>
      <c r="G4" s="74" t="s">
        <v>32</v>
      </c>
      <c r="H4" s="73"/>
      <c r="I4" s="73"/>
      <c r="J4" s="73"/>
      <c r="K4" s="75" t="s">
        <v>327</v>
      </c>
      <c r="L4" s="76"/>
      <c r="M4" s="76"/>
      <c r="N4" s="76"/>
      <c r="O4" s="77"/>
      <c r="P4" s="79"/>
      <c r="Q4" s="79"/>
      <c r="R4" s="79"/>
      <c r="S4" s="79"/>
      <c r="T4" s="77"/>
      <c r="W4" s="72" t="s">
        <v>46</v>
      </c>
      <c r="X4" s="51">
        <f t="shared" si="0"/>
        <v>14</v>
      </c>
      <c r="Y4" s="1"/>
      <c r="Z4" s="72" t="s">
        <v>70</v>
      </c>
      <c r="AA4" s="51">
        <f t="shared" si="1"/>
        <v>0</v>
      </c>
      <c r="AD4" s="2" t="s">
        <v>252</v>
      </c>
      <c r="AE4" s="2">
        <f>SUM(AF4:AH4)</f>
        <v>0</v>
      </c>
      <c r="AF4" s="28">
        <f>COUNTIFS(H:H,AD4,G:G,AF$2)</f>
        <v>0</v>
      </c>
      <c r="AG4" s="28">
        <f>COUNTIFS(H:H,AD4,G:G,AG$2)</f>
        <v>0</v>
      </c>
      <c r="AH4" s="29">
        <f>COUNTIFS(H:H,AD4,G:G,AH$2)</f>
        <v>0</v>
      </c>
      <c r="AI4" s="8">
        <f>AF4*3+AG4</f>
        <v>0</v>
      </c>
      <c r="AJ4" s="10" t="e">
        <f>AF4/AE4</f>
        <v>#DIV/0!</v>
      </c>
      <c r="AK4" s="22" t="e">
        <f>AI4/AE4</f>
        <v>#DIV/0!</v>
      </c>
      <c r="AO4" s="2" t="s">
        <v>302</v>
      </c>
      <c r="AP4" s="2">
        <f t="shared" si="2"/>
        <v>0</v>
      </c>
      <c r="AQ4" s="5">
        <f t="shared" si="3"/>
        <v>0</v>
      </c>
      <c r="AR4" s="6">
        <f t="shared" si="4"/>
        <v>0</v>
      </c>
      <c r="AS4" s="7">
        <f t="shared" si="5"/>
        <v>0</v>
      </c>
      <c r="AT4" s="8">
        <f t="shared" si="6"/>
        <v>0</v>
      </c>
      <c r="AU4" s="11" t="e">
        <f t="shared" si="7"/>
        <v>#DIV/0!</v>
      </c>
      <c r="AV4" s="22" t="e">
        <f t="shared" si="8"/>
        <v>#DIV/0!</v>
      </c>
    </row>
    <row r="5" spans="1:48">
      <c r="A5" s="49"/>
      <c r="B5" s="73">
        <v>3</v>
      </c>
      <c r="C5" s="73" t="s">
        <v>71</v>
      </c>
      <c r="D5" s="73" t="s">
        <v>49</v>
      </c>
      <c r="E5" s="73">
        <v>1</v>
      </c>
      <c r="F5" s="73">
        <v>0</v>
      </c>
      <c r="G5" s="74" t="s">
        <v>31</v>
      </c>
      <c r="H5" s="73"/>
      <c r="I5" s="73"/>
      <c r="J5" s="73"/>
      <c r="K5" s="75" t="s">
        <v>281</v>
      </c>
      <c r="L5" s="76"/>
      <c r="M5" s="76"/>
      <c r="N5" s="76"/>
      <c r="O5" s="77"/>
      <c r="P5" s="78"/>
      <c r="Q5" s="79"/>
      <c r="R5" s="79"/>
      <c r="S5" s="79"/>
      <c r="T5" s="77"/>
      <c r="W5" s="72" t="s">
        <v>328</v>
      </c>
      <c r="X5" s="51">
        <f t="shared" si="0"/>
        <v>1</v>
      </c>
      <c r="Y5" s="1"/>
      <c r="Z5" s="72" t="s">
        <v>272</v>
      </c>
      <c r="AA5" s="51">
        <f t="shared" si="1"/>
        <v>0</v>
      </c>
      <c r="AD5" s="2" t="s">
        <v>256</v>
      </c>
      <c r="AE5" s="2">
        <f>SUM(AF5:AH5)</f>
        <v>0</v>
      </c>
      <c r="AF5" s="28">
        <f>COUNTIFS(H:H,AD5,G:G,AF$2)</f>
        <v>0</v>
      </c>
      <c r="AG5" s="28">
        <f>COUNTIFS(H:H,AD5,G:G,AG$2)</f>
        <v>0</v>
      </c>
      <c r="AH5" s="29">
        <f>COUNTIFS(H:H,AD5,G:G,AH$2)</f>
        <v>0</v>
      </c>
      <c r="AI5" s="8">
        <f>AF5*3+AG5</f>
        <v>0</v>
      </c>
      <c r="AJ5" s="10" t="e">
        <f>AF5/AE5</f>
        <v>#DIV/0!</v>
      </c>
      <c r="AK5" s="22" t="e">
        <f>AI5/AE5</f>
        <v>#DIV/0!</v>
      </c>
      <c r="AO5" s="2" t="s">
        <v>329</v>
      </c>
      <c r="AP5" s="2">
        <f t="shared" si="2"/>
        <v>0</v>
      </c>
      <c r="AQ5" s="5">
        <f t="shared" si="3"/>
        <v>0</v>
      </c>
      <c r="AR5" s="6">
        <f t="shared" si="4"/>
        <v>0</v>
      </c>
      <c r="AS5" s="7">
        <f t="shared" si="5"/>
        <v>0</v>
      </c>
      <c r="AT5" s="8">
        <f t="shared" si="6"/>
        <v>0</v>
      </c>
      <c r="AU5" s="11" t="e">
        <f t="shared" si="7"/>
        <v>#DIV/0!</v>
      </c>
      <c r="AV5" s="22" t="e">
        <f t="shared" si="8"/>
        <v>#DIV/0!</v>
      </c>
    </row>
    <row r="6" spans="1:48">
      <c r="A6" s="49"/>
      <c r="B6" s="73">
        <v>4</v>
      </c>
      <c r="C6" s="73" t="s">
        <v>57</v>
      </c>
      <c r="D6" s="73" t="s">
        <v>45</v>
      </c>
      <c r="E6" s="73">
        <v>0</v>
      </c>
      <c r="F6" s="73">
        <v>1</v>
      </c>
      <c r="G6" s="74" t="s">
        <v>33</v>
      </c>
      <c r="H6" s="73"/>
      <c r="I6" s="73"/>
      <c r="J6" s="73"/>
      <c r="K6" s="75"/>
      <c r="L6" s="76"/>
      <c r="M6" s="76"/>
      <c r="N6" s="76"/>
      <c r="O6" s="77"/>
      <c r="P6" s="78"/>
      <c r="Q6" s="79"/>
      <c r="R6" s="79"/>
      <c r="S6" s="79"/>
      <c r="T6" s="77"/>
      <c r="W6" s="72" t="s">
        <v>143</v>
      </c>
      <c r="X6" s="51">
        <f t="shared" si="0"/>
        <v>5</v>
      </c>
      <c r="Y6" s="1"/>
      <c r="Z6" s="72" t="s">
        <v>143</v>
      </c>
      <c r="AA6" s="51">
        <f t="shared" si="1"/>
        <v>0</v>
      </c>
      <c r="AD6" s="2" t="s">
        <v>304</v>
      </c>
      <c r="AE6" s="2">
        <f>SUM(AF6:AH6)</f>
        <v>0</v>
      </c>
      <c r="AF6" s="30">
        <f>COUNTIFS(H:H,AD6,G:G,AF2)</f>
        <v>0</v>
      </c>
      <c r="AG6" s="15">
        <f>COUNTIFS(H:H,AD6,G:G,AG2)</f>
        <v>0</v>
      </c>
      <c r="AH6" s="16">
        <f>COUNTIFS(H:H,AD6,G:G,AH2)</f>
        <v>0</v>
      </c>
      <c r="AI6" s="8">
        <f>AF6*3+AG6</f>
        <v>0</v>
      </c>
      <c r="AJ6" s="23" t="e">
        <f>AF6/AE6</f>
        <v>#DIV/0!</v>
      </c>
      <c r="AK6" s="22" t="e">
        <f>AI6/AE6</f>
        <v>#DIV/0!</v>
      </c>
      <c r="AO6" s="2" t="s">
        <v>301</v>
      </c>
      <c r="AP6" s="2">
        <f t="shared" si="2"/>
        <v>0</v>
      </c>
      <c r="AQ6" s="5">
        <f t="shared" si="3"/>
        <v>0</v>
      </c>
      <c r="AR6" s="6">
        <f t="shared" si="4"/>
        <v>0</v>
      </c>
      <c r="AS6" s="7">
        <f t="shared" si="5"/>
        <v>0</v>
      </c>
      <c r="AT6" s="8">
        <f t="shared" si="6"/>
        <v>0</v>
      </c>
      <c r="AU6" s="11" t="e">
        <f t="shared" si="7"/>
        <v>#DIV/0!</v>
      </c>
      <c r="AV6" s="22" t="e">
        <f t="shared" si="8"/>
        <v>#DIV/0!</v>
      </c>
    </row>
    <row r="7" spans="1:48">
      <c r="A7" s="49"/>
      <c r="B7" s="73">
        <v>5</v>
      </c>
      <c r="C7" s="73" t="s">
        <v>72</v>
      </c>
      <c r="D7" s="73" t="s">
        <v>45</v>
      </c>
      <c r="E7" s="73">
        <v>1</v>
      </c>
      <c r="F7" s="73">
        <v>0</v>
      </c>
      <c r="G7" s="74" t="s">
        <v>31</v>
      </c>
      <c r="H7" s="73"/>
      <c r="I7" s="73"/>
      <c r="J7" s="73"/>
      <c r="K7" s="75" t="s">
        <v>46</v>
      </c>
      <c r="L7" s="76"/>
      <c r="M7" s="76"/>
      <c r="N7" s="76"/>
      <c r="O7" s="77"/>
      <c r="P7" s="78"/>
      <c r="Q7" s="79"/>
      <c r="R7" s="79"/>
      <c r="S7" s="79"/>
      <c r="T7" s="77"/>
      <c r="W7" s="72" t="s">
        <v>261</v>
      </c>
      <c r="X7" s="51">
        <f t="shared" si="0"/>
        <v>4</v>
      </c>
      <c r="Y7" s="1"/>
      <c r="Z7" s="72" t="s">
        <v>271</v>
      </c>
      <c r="AA7" s="51">
        <f t="shared" si="1"/>
        <v>0</v>
      </c>
      <c r="AD7" s="20"/>
      <c r="AE7" s="2"/>
      <c r="AF7" s="12"/>
      <c r="AG7" s="15"/>
      <c r="AH7" s="16"/>
      <c r="AI7" s="8"/>
      <c r="AJ7" s="10"/>
      <c r="AK7" s="22"/>
      <c r="AO7" s="20" t="s">
        <v>255</v>
      </c>
      <c r="AP7" s="2">
        <f t="shared" si="2"/>
        <v>0</v>
      </c>
      <c r="AQ7" s="5">
        <f t="shared" si="3"/>
        <v>0</v>
      </c>
      <c r="AR7" s="6">
        <f t="shared" si="4"/>
        <v>0</v>
      </c>
      <c r="AS7" s="7">
        <f t="shared" si="5"/>
        <v>0</v>
      </c>
      <c r="AT7" s="26">
        <f t="shared" si="6"/>
        <v>0</v>
      </c>
      <c r="AU7" s="11" t="e">
        <f t="shared" si="7"/>
        <v>#DIV/0!</v>
      </c>
      <c r="AV7" s="22" t="e">
        <f t="shared" si="8"/>
        <v>#DIV/0!</v>
      </c>
    </row>
    <row r="8" spans="1:48">
      <c r="A8" s="49"/>
      <c r="B8" s="73">
        <v>6</v>
      </c>
      <c r="C8" s="73" t="s">
        <v>145</v>
      </c>
      <c r="D8" s="73" t="s">
        <v>49</v>
      </c>
      <c r="E8" s="73">
        <v>1</v>
      </c>
      <c r="F8" s="73">
        <v>0</v>
      </c>
      <c r="G8" s="74" t="s">
        <v>31</v>
      </c>
      <c r="H8" s="73"/>
      <c r="I8" s="73"/>
      <c r="J8" s="73"/>
      <c r="K8" s="75" t="s">
        <v>46</v>
      </c>
      <c r="L8" s="76"/>
      <c r="M8" s="76"/>
      <c r="N8" s="76"/>
      <c r="O8" s="77"/>
      <c r="P8" s="78"/>
      <c r="Q8" s="79"/>
      <c r="R8" s="79"/>
      <c r="S8" s="79"/>
      <c r="T8" s="77"/>
      <c r="W8" s="72" t="s">
        <v>111</v>
      </c>
      <c r="X8" s="51">
        <f t="shared" si="0"/>
        <v>1</v>
      </c>
      <c r="Y8" s="1"/>
      <c r="Z8" s="72" t="s">
        <v>111</v>
      </c>
      <c r="AA8" s="51">
        <f t="shared" si="1"/>
        <v>0</v>
      </c>
      <c r="AD8" s="1"/>
      <c r="AE8" s="1"/>
      <c r="AF8" s="1"/>
      <c r="AG8" s="1"/>
      <c r="AH8" s="1"/>
      <c r="AI8" s="1"/>
      <c r="AO8" s="20" t="s">
        <v>257</v>
      </c>
      <c r="AP8" s="2">
        <f t="shared" si="2"/>
        <v>0</v>
      </c>
      <c r="AQ8" s="5">
        <f t="shared" si="3"/>
        <v>0</v>
      </c>
      <c r="AR8" s="6">
        <f t="shared" si="4"/>
        <v>0</v>
      </c>
      <c r="AS8" s="7">
        <f t="shared" si="5"/>
        <v>0</v>
      </c>
      <c r="AT8" s="8">
        <f t="shared" si="6"/>
        <v>0</v>
      </c>
      <c r="AU8" s="11" t="e">
        <f t="shared" si="7"/>
        <v>#DIV/0!</v>
      </c>
      <c r="AV8" s="22" t="e">
        <f t="shared" si="8"/>
        <v>#DIV/0!</v>
      </c>
    </row>
    <row r="9" spans="1:48">
      <c r="A9" s="49"/>
      <c r="B9" s="73">
        <v>7</v>
      </c>
      <c r="C9" s="73" t="s">
        <v>55</v>
      </c>
      <c r="D9" s="73" t="s">
        <v>45</v>
      </c>
      <c r="E9" s="73">
        <v>1</v>
      </c>
      <c r="F9" s="73">
        <v>1</v>
      </c>
      <c r="G9" s="74" t="s">
        <v>32</v>
      </c>
      <c r="H9" s="73"/>
      <c r="I9" s="73"/>
      <c r="J9" s="73"/>
      <c r="K9" s="75" t="s">
        <v>46</v>
      </c>
      <c r="L9" s="76"/>
      <c r="M9" s="76"/>
      <c r="N9" s="76"/>
      <c r="O9" s="77"/>
      <c r="P9" s="78"/>
      <c r="Q9" s="79"/>
      <c r="R9" s="79"/>
      <c r="S9" s="79"/>
      <c r="T9" s="77"/>
      <c r="W9" s="72" t="s">
        <v>156</v>
      </c>
      <c r="X9" s="51">
        <f t="shared" si="0"/>
        <v>3</v>
      </c>
      <c r="Y9" s="1"/>
      <c r="Z9" s="72" t="s">
        <v>156</v>
      </c>
      <c r="AA9" s="51">
        <f t="shared" si="1"/>
        <v>0</v>
      </c>
      <c r="AC9" s="4" t="s">
        <v>7</v>
      </c>
      <c r="AD9" s="4" t="s">
        <v>11</v>
      </c>
      <c r="AE9" s="4" t="s">
        <v>30</v>
      </c>
      <c r="AF9" s="4" t="s">
        <v>31</v>
      </c>
      <c r="AG9" s="4" t="s">
        <v>32</v>
      </c>
      <c r="AH9" s="4" t="s">
        <v>33</v>
      </c>
      <c r="AI9" s="4" t="s">
        <v>34</v>
      </c>
      <c r="AJ9" s="4" t="s">
        <v>35</v>
      </c>
      <c r="AK9" s="4" t="s">
        <v>138</v>
      </c>
      <c r="AO9" s="20" t="s">
        <v>330</v>
      </c>
      <c r="AP9" s="2">
        <f t="shared" si="2"/>
        <v>0</v>
      </c>
      <c r="AQ9" s="5">
        <f t="shared" si="3"/>
        <v>0</v>
      </c>
      <c r="AR9" s="6">
        <f t="shared" si="4"/>
        <v>0</v>
      </c>
      <c r="AS9" s="7">
        <f t="shared" si="5"/>
        <v>0</v>
      </c>
      <c r="AT9" s="8">
        <f t="shared" si="6"/>
        <v>0</v>
      </c>
      <c r="AU9" s="11" t="e">
        <f t="shared" si="7"/>
        <v>#DIV/0!</v>
      </c>
      <c r="AV9" s="22" t="e">
        <f t="shared" si="8"/>
        <v>#DIV/0!</v>
      </c>
    </row>
    <row r="10" spans="1:48">
      <c r="A10" s="49"/>
      <c r="B10" s="73">
        <v>8</v>
      </c>
      <c r="C10" s="73" t="s">
        <v>265</v>
      </c>
      <c r="D10" s="73" t="s">
        <v>49</v>
      </c>
      <c r="E10" s="73">
        <v>2</v>
      </c>
      <c r="F10" s="73">
        <v>1</v>
      </c>
      <c r="G10" s="74" t="s">
        <v>31</v>
      </c>
      <c r="H10" s="73"/>
      <c r="I10" s="73"/>
      <c r="J10" s="73"/>
      <c r="K10" s="75" t="s">
        <v>46</v>
      </c>
      <c r="L10" s="76" t="s">
        <v>46</v>
      </c>
      <c r="M10" s="76"/>
      <c r="N10" s="76"/>
      <c r="O10" s="77"/>
      <c r="P10" s="78"/>
      <c r="Q10" s="79"/>
      <c r="R10" s="79"/>
      <c r="S10" s="79"/>
      <c r="T10" s="77"/>
      <c r="W10" s="72" t="s">
        <v>264</v>
      </c>
      <c r="X10" s="51">
        <f t="shared" si="0"/>
        <v>0</v>
      </c>
      <c r="Y10" s="1"/>
      <c r="Z10" s="72" t="s">
        <v>264</v>
      </c>
      <c r="AA10" s="51">
        <f t="shared" si="1"/>
        <v>0</v>
      </c>
      <c r="AC10" s="2" t="s">
        <v>45</v>
      </c>
      <c r="AD10" s="2" t="s">
        <v>250</v>
      </c>
      <c r="AE10" s="2">
        <f>SUM(AF10:AH10)</f>
        <v>0</v>
      </c>
      <c r="AF10" s="5">
        <f>COUNTIFS(D:D,AC10,H:H,AD10,G:G,AF2)</f>
        <v>0</v>
      </c>
      <c r="AG10" s="5">
        <f>COUNTIFS(D:D,AC10,H:H,AD10,G:G,AG2)</f>
        <v>0</v>
      </c>
      <c r="AH10" s="5">
        <f>COUNTIFS(D:D,AC10,H:H,AD10,G:G,AH2)</f>
        <v>0</v>
      </c>
      <c r="AI10" s="8">
        <f>AF10*3+AG10</f>
        <v>0</v>
      </c>
      <c r="AJ10" s="9" t="e">
        <f>AF10/AE10</f>
        <v>#DIV/0!</v>
      </c>
      <c r="AK10" s="22" t="e">
        <f>AI10/AE10</f>
        <v>#DIV/0!</v>
      </c>
      <c r="AO10" s="20" t="s">
        <v>331</v>
      </c>
      <c r="AP10" s="2">
        <f t="shared" si="2"/>
        <v>0</v>
      </c>
      <c r="AQ10" s="5">
        <f t="shared" si="3"/>
        <v>0</v>
      </c>
      <c r="AR10" s="6">
        <f t="shared" si="4"/>
        <v>0</v>
      </c>
      <c r="AS10" s="7">
        <f t="shared" si="5"/>
        <v>0</v>
      </c>
      <c r="AT10" s="26">
        <f t="shared" si="6"/>
        <v>0</v>
      </c>
      <c r="AU10" s="11" t="e">
        <f t="shared" si="7"/>
        <v>#DIV/0!</v>
      </c>
      <c r="AV10" s="22" t="e">
        <f t="shared" si="8"/>
        <v>#DIV/0!</v>
      </c>
    </row>
    <row r="11" spans="1:48">
      <c r="A11" s="49"/>
      <c r="B11" s="73">
        <v>9</v>
      </c>
      <c r="C11" s="73" t="s">
        <v>77</v>
      </c>
      <c r="D11" s="73" t="s">
        <v>45</v>
      </c>
      <c r="E11" s="73">
        <v>2</v>
      </c>
      <c r="F11" s="73">
        <v>2</v>
      </c>
      <c r="G11" s="74" t="s">
        <v>32</v>
      </c>
      <c r="H11" s="73"/>
      <c r="I11" s="73"/>
      <c r="J11" s="73"/>
      <c r="K11" s="75" t="s">
        <v>46</v>
      </c>
      <c r="L11" s="76" t="s">
        <v>73</v>
      </c>
      <c r="M11" s="76"/>
      <c r="N11" s="76"/>
      <c r="O11" s="77"/>
      <c r="P11" s="78"/>
      <c r="Q11" s="79"/>
      <c r="R11" s="79"/>
      <c r="S11" s="79"/>
      <c r="T11" s="77"/>
      <c r="W11" s="72" t="s">
        <v>54</v>
      </c>
      <c r="X11" s="51">
        <f t="shared" si="0"/>
        <v>0</v>
      </c>
      <c r="Y11" s="1"/>
      <c r="Z11" s="72" t="s">
        <v>54</v>
      </c>
      <c r="AA11" s="51">
        <f t="shared" si="1"/>
        <v>0</v>
      </c>
      <c r="AC11" s="2" t="s">
        <v>45</v>
      </c>
      <c r="AD11" s="2" t="s">
        <v>252</v>
      </c>
      <c r="AE11" s="2">
        <f>SUM(AF11:AH11)</f>
        <v>0</v>
      </c>
      <c r="AF11" s="5">
        <f>COUNTIFS(D:D,AC11,H:H,AD11,G:G,AF2)</f>
        <v>0</v>
      </c>
      <c r="AG11" s="5">
        <f>COUNTIFS(D:D,AC11,H:H,AD11,G:G,AG2)</f>
        <v>0</v>
      </c>
      <c r="AH11" s="5">
        <f>COUNTIFS(D:D,AC11,H:H,AD11,G:G,AH2)</f>
        <v>0</v>
      </c>
      <c r="AI11" s="8">
        <f>AF11*3+AG11</f>
        <v>0</v>
      </c>
      <c r="AJ11" s="9" t="e">
        <f>AF11/AE11</f>
        <v>#DIV/0!</v>
      </c>
      <c r="AK11" s="22" t="e">
        <f>AI11/AE11</f>
        <v>#DIV/0!</v>
      </c>
      <c r="AO11" s="20" t="s">
        <v>253</v>
      </c>
      <c r="AP11" s="2">
        <f t="shared" si="2"/>
        <v>0</v>
      </c>
      <c r="AQ11" s="5">
        <f t="shared" si="3"/>
        <v>0</v>
      </c>
      <c r="AR11" s="6">
        <f t="shared" si="4"/>
        <v>0</v>
      </c>
      <c r="AS11" s="7">
        <f t="shared" si="5"/>
        <v>0</v>
      </c>
      <c r="AT11" s="8">
        <f t="shared" si="6"/>
        <v>0</v>
      </c>
      <c r="AU11" s="11" t="e">
        <f t="shared" si="7"/>
        <v>#DIV/0!</v>
      </c>
      <c r="AV11" s="22" t="e">
        <f t="shared" si="8"/>
        <v>#DIV/0!</v>
      </c>
    </row>
    <row r="12" spans="1:48">
      <c r="A12" s="49"/>
      <c r="B12" s="73">
        <v>10</v>
      </c>
      <c r="C12" s="73" t="s">
        <v>246</v>
      </c>
      <c r="D12" s="73" t="s">
        <v>49</v>
      </c>
      <c r="E12" s="73">
        <v>2</v>
      </c>
      <c r="F12" s="73">
        <v>2</v>
      </c>
      <c r="G12" s="74" t="s">
        <v>32</v>
      </c>
      <c r="H12" s="73"/>
      <c r="I12" s="73"/>
      <c r="J12" s="73"/>
      <c r="K12" s="75" t="s">
        <v>73</v>
      </c>
      <c r="L12" s="76" t="s">
        <v>46</v>
      </c>
      <c r="M12" s="76"/>
      <c r="N12" s="76"/>
      <c r="O12" s="77"/>
      <c r="P12" s="78"/>
      <c r="Q12" s="79"/>
      <c r="R12" s="79"/>
      <c r="S12" s="79"/>
      <c r="T12" s="77"/>
      <c r="W12" s="72" t="s">
        <v>269</v>
      </c>
      <c r="X12" s="51">
        <f t="shared" si="0"/>
        <v>0</v>
      </c>
      <c r="Y12" s="1"/>
      <c r="Z12" s="72" t="s">
        <v>269</v>
      </c>
      <c r="AA12" s="51">
        <f t="shared" si="1"/>
        <v>0</v>
      </c>
      <c r="AC12" s="2" t="s">
        <v>45</v>
      </c>
      <c r="AD12" s="2" t="s">
        <v>256</v>
      </c>
      <c r="AE12" s="2">
        <f>SUM(AF12:AH12)</f>
        <v>0</v>
      </c>
      <c r="AF12" s="5">
        <f>COUNTIFS(D:D,AC12,H:H,AD12,G:G,AF2)</f>
        <v>0</v>
      </c>
      <c r="AG12" s="5">
        <f>COUNTIFS(D:D,AC12,H:H,AD12,G:G,AG2)</f>
        <v>0</v>
      </c>
      <c r="AH12" s="5">
        <f>COUNTIFS(D:D,AC12,H:H,AD12,G:G,AH2)</f>
        <v>0</v>
      </c>
      <c r="AI12" s="8">
        <f>AF12*3+AG12</f>
        <v>0</v>
      </c>
      <c r="AJ12" s="9" t="e">
        <f>AF12/AE12</f>
        <v>#DIV/0!</v>
      </c>
      <c r="AK12" s="22" t="e">
        <f>AI12/AE12</f>
        <v>#DIV/0!</v>
      </c>
      <c r="AO12" s="27" t="s">
        <v>332</v>
      </c>
      <c r="AP12" s="2">
        <f t="shared" si="2"/>
        <v>0</v>
      </c>
      <c r="AQ12" s="5">
        <f t="shared" si="3"/>
        <v>0</v>
      </c>
      <c r="AR12" s="6">
        <f t="shared" si="4"/>
        <v>0</v>
      </c>
      <c r="AS12" s="7">
        <f t="shared" si="5"/>
        <v>0</v>
      </c>
      <c r="AT12" s="8">
        <f t="shared" si="6"/>
        <v>0</v>
      </c>
      <c r="AU12" s="11" t="e">
        <f t="shared" si="7"/>
        <v>#DIV/0!</v>
      </c>
      <c r="AV12" s="22" t="e">
        <f t="shared" si="8"/>
        <v>#DIV/0!</v>
      </c>
    </row>
    <row r="13" spans="1:48">
      <c r="A13" s="49"/>
      <c r="B13" s="73">
        <v>11</v>
      </c>
      <c r="C13" s="73" t="s">
        <v>67</v>
      </c>
      <c r="D13" s="73" t="s">
        <v>45</v>
      </c>
      <c r="E13" s="73">
        <v>0</v>
      </c>
      <c r="F13" s="73">
        <v>1</v>
      </c>
      <c r="G13" s="74" t="s">
        <v>33</v>
      </c>
      <c r="H13" s="73"/>
      <c r="I13" s="73"/>
      <c r="J13" s="73"/>
      <c r="K13" s="75"/>
      <c r="L13" s="76"/>
      <c r="M13" s="76"/>
      <c r="N13" s="76"/>
      <c r="O13" s="77"/>
      <c r="P13" s="78"/>
      <c r="Q13" s="79"/>
      <c r="R13" s="79"/>
      <c r="S13" s="79"/>
      <c r="T13" s="77"/>
      <c r="W13" s="70" t="s">
        <v>73</v>
      </c>
      <c r="X13" s="51">
        <f t="shared" si="0"/>
        <v>4</v>
      </c>
      <c r="Y13" s="1"/>
      <c r="Z13" s="70" t="s">
        <v>73</v>
      </c>
      <c r="AA13" s="51">
        <f t="shared" si="1"/>
        <v>0</v>
      </c>
      <c r="AC13" s="2" t="s">
        <v>45</v>
      </c>
      <c r="AD13" s="2" t="s">
        <v>304</v>
      </c>
      <c r="AE13" s="2">
        <f>SUM(AF13:AH13)</f>
        <v>0</v>
      </c>
      <c r="AF13" s="5">
        <f>COUNTIFS(D:D,AC13,H:H,AD13,G:G,AF2)</f>
        <v>0</v>
      </c>
      <c r="AG13" s="5">
        <f>COUNTIFS(D:D,AC13,H:H,AD13,G:G,AG2)</f>
        <v>0</v>
      </c>
      <c r="AH13" s="5">
        <f>COUNTIFS(D:D,AC13,H:H,AD13,G:G,AH2)</f>
        <v>0</v>
      </c>
      <c r="AI13" s="8">
        <f>AF13*3+AG13</f>
        <v>0</v>
      </c>
      <c r="AJ13" s="9" t="e">
        <f>AF13/AE13</f>
        <v>#DIV/0!</v>
      </c>
      <c r="AK13" s="22" t="e">
        <f>AI13/AE13</f>
        <v>#DIV/0!</v>
      </c>
      <c r="AO13" s="20" t="s">
        <v>248</v>
      </c>
      <c r="AP13" s="2">
        <f t="shared" si="2"/>
        <v>0</v>
      </c>
      <c r="AQ13" s="5">
        <f t="shared" si="3"/>
        <v>0</v>
      </c>
      <c r="AR13" s="6">
        <f t="shared" si="4"/>
        <v>0</v>
      </c>
      <c r="AS13" s="7">
        <f t="shared" si="5"/>
        <v>0</v>
      </c>
      <c r="AT13" s="8">
        <f t="shared" si="6"/>
        <v>0</v>
      </c>
      <c r="AU13" s="11" t="e">
        <f t="shared" si="7"/>
        <v>#DIV/0!</v>
      </c>
      <c r="AV13" s="22" t="e">
        <f t="shared" si="8"/>
        <v>#DIV/0!</v>
      </c>
    </row>
    <row r="14" spans="1:48">
      <c r="A14" s="50"/>
      <c r="B14" s="73">
        <v>12</v>
      </c>
      <c r="C14" s="73" t="s">
        <v>55</v>
      </c>
      <c r="D14" s="73" t="s">
        <v>49</v>
      </c>
      <c r="E14" s="73">
        <v>2</v>
      </c>
      <c r="F14" s="73">
        <v>2</v>
      </c>
      <c r="G14" s="74" t="s">
        <v>32</v>
      </c>
      <c r="H14" s="73"/>
      <c r="I14" s="73"/>
      <c r="J14" s="73"/>
      <c r="K14" s="75" t="s">
        <v>46</v>
      </c>
      <c r="L14" s="76" t="s">
        <v>328</v>
      </c>
      <c r="M14" s="76"/>
      <c r="N14" s="76"/>
      <c r="O14" s="77"/>
      <c r="P14" s="78"/>
      <c r="Q14" s="79"/>
      <c r="R14" s="79"/>
      <c r="S14" s="79"/>
      <c r="T14" s="77"/>
      <c r="W14" s="70" t="s">
        <v>170</v>
      </c>
      <c r="X14" s="51">
        <f t="shared" si="0"/>
        <v>2</v>
      </c>
      <c r="Y14" s="1"/>
      <c r="Z14" s="70" t="s">
        <v>170</v>
      </c>
      <c r="AA14" s="51">
        <f t="shared" si="1"/>
        <v>0</v>
      </c>
      <c r="AC14" s="2"/>
      <c r="AD14" s="20"/>
      <c r="AE14" s="2"/>
      <c r="AF14" s="5"/>
      <c r="AG14" s="5"/>
      <c r="AH14" s="5"/>
      <c r="AI14" s="8"/>
      <c r="AJ14" s="9"/>
      <c r="AK14" s="22"/>
      <c r="AO14" s="4" t="s">
        <v>13</v>
      </c>
      <c r="AP14" s="4" t="s">
        <v>30</v>
      </c>
      <c r="AQ14" s="4" t="s">
        <v>31</v>
      </c>
      <c r="AR14" s="4" t="s">
        <v>32</v>
      </c>
      <c r="AS14" s="4" t="s">
        <v>33</v>
      </c>
      <c r="AT14" s="4" t="s">
        <v>34</v>
      </c>
      <c r="AU14" s="4" t="s">
        <v>35</v>
      </c>
      <c r="AV14" s="4" t="s">
        <v>138</v>
      </c>
    </row>
    <row r="15" spans="1:48">
      <c r="A15" s="50"/>
      <c r="B15" s="73">
        <v>13</v>
      </c>
      <c r="C15" s="73" t="s">
        <v>265</v>
      </c>
      <c r="D15" s="73" t="s">
        <v>45</v>
      </c>
      <c r="E15" s="73">
        <v>2</v>
      </c>
      <c r="F15" s="73">
        <v>2</v>
      </c>
      <c r="G15" s="74" t="s">
        <v>32</v>
      </c>
      <c r="H15" s="73"/>
      <c r="I15" s="73"/>
      <c r="J15" s="73"/>
      <c r="K15" s="75" t="s">
        <v>46</v>
      </c>
      <c r="L15" s="76" t="s">
        <v>46</v>
      </c>
      <c r="M15" s="76"/>
      <c r="N15" s="76"/>
      <c r="O15" s="77"/>
      <c r="P15" s="78"/>
      <c r="Q15" s="79"/>
      <c r="R15" s="79"/>
      <c r="S15" s="79"/>
      <c r="T15" s="77"/>
      <c r="W15" s="70" t="s">
        <v>333</v>
      </c>
      <c r="X15" s="51">
        <f t="shared" si="0"/>
        <v>0</v>
      </c>
      <c r="Y15" s="1"/>
      <c r="Z15" s="70" t="s">
        <v>333</v>
      </c>
      <c r="AA15" s="51">
        <f t="shared" si="1"/>
        <v>0</v>
      </c>
      <c r="AO15" s="2" t="s">
        <v>260</v>
      </c>
      <c r="AP15" s="2">
        <f t="shared" ref="AP15:AP22" si="9">SUM(AQ15:AS15)</f>
        <v>0</v>
      </c>
      <c r="AQ15" s="5">
        <f>COUNTIFS(J:J,AO15,G:G,AQ$14)</f>
        <v>0</v>
      </c>
      <c r="AR15" s="6">
        <f>COUNTIFS(J:J,AO15,G:G,AR$14)</f>
        <v>0</v>
      </c>
      <c r="AS15" s="7">
        <f>COUNTIFS(J:J,AO15,G:G,AS$14)</f>
        <v>0</v>
      </c>
      <c r="AT15" s="8">
        <f t="shared" ref="AT15:AT22" si="10">AQ15*3+AR15</f>
        <v>0</v>
      </c>
      <c r="AU15" s="11" t="e">
        <f t="shared" ref="AU15:AU22" si="11">AQ15/AP15</f>
        <v>#DIV/0!</v>
      </c>
      <c r="AV15" s="22" t="e">
        <f t="shared" ref="AV15:AV22" si="12">AT15/AP15</f>
        <v>#DIV/0!</v>
      </c>
    </row>
    <row r="16" spans="1:48">
      <c r="A16" s="50"/>
      <c r="B16" s="73">
        <v>14</v>
      </c>
      <c r="C16" s="73" t="s">
        <v>57</v>
      </c>
      <c r="D16" s="73" t="s">
        <v>49</v>
      </c>
      <c r="E16" s="73">
        <v>0</v>
      </c>
      <c r="F16" s="73">
        <v>2</v>
      </c>
      <c r="G16" s="74" t="s">
        <v>33</v>
      </c>
      <c r="H16" s="73"/>
      <c r="I16" s="73"/>
      <c r="J16" s="73"/>
      <c r="K16" s="75"/>
      <c r="L16" s="76"/>
      <c r="M16" s="76"/>
      <c r="N16" s="76"/>
      <c r="O16" s="77"/>
      <c r="P16" s="78"/>
      <c r="Q16" s="79"/>
      <c r="R16" s="79"/>
      <c r="S16" s="79"/>
      <c r="T16" s="77"/>
      <c r="W16" s="70" t="s">
        <v>318</v>
      </c>
      <c r="X16" s="51">
        <f t="shared" si="0"/>
        <v>1</v>
      </c>
      <c r="Y16" s="1"/>
      <c r="Z16" s="70" t="s">
        <v>318</v>
      </c>
      <c r="AA16" s="51">
        <f t="shared" si="1"/>
        <v>0</v>
      </c>
      <c r="AC16" s="4" t="s">
        <v>7</v>
      </c>
      <c r="AD16" s="4" t="s">
        <v>11</v>
      </c>
      <c r="AE16" s="4" t="s">
        <v>30</v>
      </c>
      <c r="AF16" s="4" t="s">
        <v>31</v>
      </c>
      <c r="AG16" s="4" t="s">
        <v>32</v>
      </c>
      <c r="AH16" s="4" t="s">
        <v>33</v>
      </c>
      <c r="AI16" s="4" t="s">
        <v>34</v>
      </c>
      <c r="AJ16" s="4" t="s">
        <v>35</v>
      </c>
      <c r="AK16" s="4" t="s">
        <v>138</v>
      </c>
      <c r="AO16" s="2" t="s">
        <v>263</v>
      </c>
      <c r="AP16" s="2">
        <f t="shared" si="9"/>
        <v>0</v>
      </c>
      <c r="AQ16" s="5">
        <f>COUNTIFS(J:J,AO16,G:G,AQ$14)</f>
        <v>0</v>
      </c>
      <c r="AR16" s="6">
        <f>COUNTIFS(J:J,AO16,G:G,AR$14)</f>
        <v>0</v>
      </c>
      <c r="AS16" s="7">
        <f>COUNTIFS(J:J,AO16,G:G,AS$14)</f>
        <v>0</v>
      </c>
      <c r="AT16" s="8">
        <f t="shared" si="10"/>
        <v>0</v>
      </c>
      <c r="AU16" s="11" t="e">
        <f t="shared" si="11"/>
        <v>#DIV/0!</v>
      </c>
      <c r="AV16" s="22" t="e">
        <f t="shared" si="12"/>
        <v>#DIV/0!</v>
      </c>
    </row>
    <row r="17" spans="1:48">
      <c r="A17" s="50"/>
      <c r="B17" s="73">
        <v>15</v>
      </c>
      <c r="C17" s="73" t="s">
        <v>145</v>
      </c>
      <c r="D17" s="73" t="s">
        <v>45</v>
      </c>
      <c r="E17" s="73">
        <v>1</v>
      </c>
      <c r="F17" s="73">
        <v>0</v>
      </c>
      <c r="G17" s="74" t="s">
        <v>31</v>
      </c>
      <c r="H17" s="73"/>
      <c r="I17" s="73"/>
      <c r="J17" s="73"/>
      <c r="K17" s="75" t="s">
        <v>261</v>
      </c>
      <c r="L17" s="76"/>
      <c r="M17" s="76"/>
      <c r="N17" s="76"/>
      <c r="O17" s="77"/>
      <c r="P17" s="78"/>
      <c r="Q17" s="79"/>
      <c r="R17" s="79"/>
      <c r="S17" s="79"/>
      <c r="T17" s="77"/>
      <c r="W17" s="70" t="s">
        <v>93</v>
      </c>
      <c r="X17" s="51">
        <f t="shared" si="0"/>
        <v>0</v>
      </c>
      <c r="Y17" s="1"/>
      <c r="Z17" s="70" t="s">
        <v>93</v>
      </c>
      <c r="AA17" s="51">
        <f t="shared" si="1"/>
        <v>0</v>
      </c>
      <c r="AC17" s="2" t="s">
        <v>49</v>
      </c>
      <c r="AD17" s="2" t="s">
        <v>250</v>
      </c>
      <c r="AE17" s="2">
        <f>SUM(AF17:AH17)</f>
        <v>0</v>
      </c>
      <c r="AF17" s="5">
        <f>COUNTIFS(D:D,AC17,H:H,AD17,G:G,AF24)</f>
        <v>0</v>
      </c>
      <c r="AG17" s="5">
        <f>COUNTIFS(D:D,AC17,H:H,AD17,G:G,AG24)</f>
        <v>0</v>
      </c>
      <c r="AH17" s="5">
        <f>COUNTIFS(D:D,AC17,H:H,AD17,G:G,AH24)</f>
        <v>0</v>
      </c>
      <c r="AI17" s="8">
        <f>AF17*3+AG17</f>
        <v>0</v>
      </c>
      <c r="AJ17" s="9" t="e">
        <f>AF17/AE17</f>
        <v>#DIV/0!</v>
      </c>
      <c r="AK17" s="22" t="e">
        <f>AI17/AE17</f>
        <v>#DIV/0!</v>
      </c>
      <c r="AO17" s="2" t="s">
        <v>270</v>
      </c>
      <c r="AP17" s="2">
        <f t="shared" si="9"/>
        <v>0</v>
      </c>
      <c r="AQ17" s="5">
        <f>COUNTIFS(J:J,AO17,G:G,AQ14)</f>
        <v>0</v>
      </c>
      <c r="AR17" s="6">
        <f>COUNTIFS(J:J,AO17,G:G,AR14)</f>
        <v>0</v>
      </c>
      <c r="AS17" s="7">
        <f>COUNTIFS(J:J,AO17,G:G,AS14)</f>
        <v>0</v>
      </c>
      <c r="AT17" s="8">
        <f t="shared" si="10"/>
        <v>0</v>
      </c>
      <c r="AU17" s="11" t="e">
        <f t="shared" si="11"/>
        <v>#DIV/0!</v>
      </c>
      <c r="AV17" s="22" t="e">
        <f t="shared" si="12"/>
        <v>#DIV/0!</v>
      </c>
    </row>
    <row r="18" spans="1:48">
      <c r="A18" s="50"/>
      <c r="B18" s="73">
        <v>16</v>
      </c>
      <c r="C18" s="73" t="s">
        <v>77</v>
      </c>
      <c r="D18" s="73" t="s">
        <v>49</v>
      </c>
      <c r="E18" s="73">
        <v>1</v>
      </c>
      <c r="F18" s="73">
        <v>2</v>
      </c>
      <c r="G18" s="74" t="s">
        <v>33</v>
      </c>
      <c r="H18" s="73"/>
      <c r="I18" s="73"/>
      <c r="J18" s="73"/>
      <c r="K18" s="75" t="s">
        <v>143</v>
      </c>
      <c r="L18" s="76"/>
      <c r="M18" s="76"/>
      <c r="N18" s="76"/>
      <c r="O18" s="77"/>
      <c r="P18" s="78"/>
      <c r="Q18" s="79"/>
      <c r="R18" s="79"/>
      <c r="S18" s="79"/>
      <c r="T18" s="77"/>
      <c r="W18" s="70" t="s">
        <v>171</v>
      </c>
      <c r="X18" s="51">
        <f t="shared" si="0"/>
        <v>0</v>
      </c>
      <c r="Y18" s="1"/>
      <c r="Z18" s="70" t="s">
        <v>171</v>
      </c>
      <c r="AA18" s="51">
        <f t="shared" si="1"/>
        <v>0</v>
      </c>
      <c r="AC18" s="2" t="s">
        <v>49</v>
      </c>
      <c r="AD18" s="2" t="s">
        <v>252</v>
      </c>
      <c r="AE18" s="2">
        <f>SUM(AF18:AH18)</f>
        <v>0</v>
      </c>
      <c r="AF18" s="5">
        <f>COUNTIFS(D:D,AC18,H:H,AD18,G:G,AF24)</f>
        <v>0</v>
      </c>
      <c r="AG18" s="5">
        <f>COUNTIFS(D:D,AC18,H:H,AD18,G:G,AG24)</f>
        <v>0</v>
      </c>
      <c r="AH18" s="5">
        <f>COUNTIFS(D:D,AC18,H:H,AD18,G:G,AH24)</f>
        <v>0</v>
      </c>
      <c r="AI18" s="8">
        <f>AF18*3+AG18</f>
        <v>0</v>
      </c>
      <c r="AJ18" s="9" t="e">
        <f>AF18/AE18</f>
        <v>#DIV/0!</v>
      </c>
      <c r="AK18" s="22" t="e">
        <f>AI18/AE18</f>
        <v>#DIV/0!</v>
      </c>
      <c r="AO18" s="2" t="s">
        <v>254</v>
      </c>
      <c r="AP18" s="2">
        <f t="shared" si="9"/>
        <v>0</v>
      </c>
      <c r="AQ18" s="5">
        <f>COUNTIFS(J:J,AO18,G:G,AQ14)</f>
        <v>0</v>
      </c>
      <c r="AR18" s="6">
        <f>COUNTIFS(J:J,AO18,G:G,AR14)</f>
        <v>0</v>
      </c>
      <c r="AS18" s="7">
        <f>COUNTIFS(J:J,AO18,G:G,AS14)</f>
        <v>0</v>
      </c>
      <c r="AT18" s="8">
        <f t="shared" si="10"/>
        <v>0</v>
      </c>
      <c r="AU18" s="11" t="e">
        <f t="shared" si="11"/>
        <v>#DIV/0!</v>
      </c>
      <c r="AV18" s="22" t="e">
        <f t="shared" si="12"/>
        <v>#DIV/0!</v>
      </c>
    </row>
    <row r="19" spans="1:48">
      <c r="A19" s="50"/>
      <c r="B19" s="73">
        <v>17</v>
      </c>
      <c r="C19" s="73" t="s">
        <v>71</v>
      </c>
      <c r="D19" s="73" t="s">
        <v>45</v>
      </c>
      <c r="E19" s="73">
        <v>4</v>
      </c>
      <c r="F19" s="73">
        <v>1</v>
      </c>
      <c r="G19" s="74" t="s">
        <v>31</v>
      </c>
      <c r="H19" s="73"/>
      <c r="I19" s="73"/>
      <c r="J19" s="73"/>
      <c r="K19" s="75" t="s">
        <v>46</v>
      </c>
      <c r="L19" s="76" t="s">
        <v>46</v>
      </c>
      <c r="M19" s="76" t="s">
        <v>46</v>
      </c>
      <c r="N19" s="76" t="s">
        <v>261</v>
      </c>
      <c r="O19" s="77"/>
      <c r="P19" s="78"/>
      <c r="Q19" s="79"/>
      <c r="R19" s="79"/>
      <c r="S19" s="79"/>
      <c r="T19" s="77"/>
      <c r="W19" s="70" t="s">
        <v>313</v>
      </c>
      <c r="X19" s="51">
        <f t="shared" si="0"/>
        <v>0</v>
      </c>
      <c r="Y19" s="1"/>
      <c r="Z19" s="70" t="s">
        <v>313</v>
      </c>
      <c r="AA19" s="51">
        <f t="shared" si="1"/>
        <v>0</v>
      </c>
      <c r="AC19" s="2" t="s">
        <v>49</v>
      </c>
      <c r="AD19" s="2" t="s">
        <v>256</v>
      </c>
      <c r="AE19" s="2">
        <f>SUM(AF19:AH19)</f>
        <v>0</v>
      </c>
      <c r="AF19" s="5">
        <f>COUNTIFS(D:D,AC19,H:H,AD19,G:G,AF24)</f>
        <v>0</v>
      </c>
      <c r="AG19" s="5">
        <f>COUNTIFS(D:D,AC19,H:H,AD19,G:G,AG24)</f>
        <v>0</v>
      </c>
      <c r="AH19" s="5">
        <f>COUNTIFS(D:D,AC19,H:H,AD19,G:G,AH24)</f>
        <v>0</v>
      </c>
      <c r="AI19" s="8">
        <f>AF19*3+AG19</f>
        <v>0</v>
      </c>
      <c r="AJ19" s="9" t="e">
        <f>AF19/AE19</f>
        <v>#DIV/0!</v>
      </c>
      <c r="AK19" s="22" t="e">
        <f>AI19/AE19</f>
        <v>#DIV/0!</v>
      </c>
      <c r="AO19" s="20" t="s">
        <v>334</v>
      </c>
      <c r="AP19" s="2">
        <f t="shared" si="9"/>
        <v>0</v>
      </c>
      <c r="AQ19" s="5">
        <f>COUNTIFS(J:J,AO19,G:G,AQ14)</f>
        <v>0</v>
      </c>
      <c r="AR19" s="6">
        <f>COUNTIFS(J:J,AO19,G:G,AR14)</f>
        <v>0</v>
      </c>
      <c r="AS19" s="7">
        <f>COUNTIFS(J:J,AO19,G:G,AS14)</f>
        <v>0</v>
      </c>
      <c r="AT19" s="8">
        <f t="shared" si="10"/>
        <v>0</v>
      </c>
      <c r="AU19" s="11" t="e">
        <f t="shared" si="11"/>
        <v>#DIV/0!</v>
      </c>
      <c r="AV19" s="22" t="e">
        <f t="shared" si="12"/>
        <v>#DIV/0!</v>
      </c>
    </row>
    <row r="20" spans="1:48">
      <c r="A20" s="50"/>
      <c r="B20" s="73">
        <v>18</v>
      </c>
      <c r="C20" s="73" t="s">
        <v>44</v>
      </c>
      <c r="D20" s="73" t="s">
        <v>49</v>
      </c>
      <c r="E20" s="73">
        <v>1</v>
      </c>
      <c r="F20" s="73">
        <v>1</v>
      </c>
      <c r="G20" s="74" t="s">
        <v>32</v>
      </c>
      <c r="H20" s="73"/>
      <c r="I20" s="73"/>
      <c r="J20" s="73"/>
      <c r="K20" s="75" t="s">
        <v>73</v>
      </c>
      <c r="L20" s="76"/>
      <c r="M20" s="76"/>
      <c r="N20" s="76"/>
      <c r="O20" s="77"/>
      <c r="P20" s="78"/>
      <c r="Q20" s="79"/>
      <c r="R20" s="79"/>
      <c r="S20" s="79"/>
      <c r="T20" s="77"/>
      <c r="W20" s="70" t="s">
        <v>172</v>
      </c>
      <c r="X20" s="51">
        <f t="shared" si="0"/>
        <v>0</v>
      </c>
      <c r="Y20" s="1"/>
      <c r="Z20" s="70" t="s">
        <v>172</v>
      </c>
      <c r="AA20" s="51">
        <f t="shared" si="1"/>
        <v>0</v>
      </c>
      <c r="AC20" s="2" t="s">
        <v>49</v>
      </c>
      <c r="AD20" s="2" t="s">
        <v>304</v>
      </c>
      <c r="AE20" s="2">
        <f>SUM(AF20:AH20)</f>
        <v>0</v>
      </c>
      <c r="AF20" s="5">
        <f>COUNTIFS(D:D,AC20,H:H,AD20,G:G,AF24)</f>
        <v>0</v>
      </c>
      <c r="AG20" s="5">
        <f>COUNTIFS(D:D,AC20,H:H,AD20,G:G,AG24)</f>
        <v>0</v>
      </c>
      <c r="AH20" s="5">
        <f>COUNTIFS(D:D,AC20,H:H,AD20,G:G,AH24)</f>
        <v>0</v>
      </c>
      <c r="AI20" s="8">
        <f>AF20*3+AG20</f>
        <v>0</v>
      </c>
      <c r="AJ20" s="9" t="e">
        <f>AF20/AE20</f>
        <v>#DIV/0!</v>
      </c>
      <c r="AK20" s="22" t="e">
        <f>AI20/AE20</f>
        <v>#DIV/0!</v>
      </c>
      <c r="AO20" s="20" t="s">
        <v>315</v>
      </c>
      <c r="AP20" s="2">
        <f t="shared" si="9"/>
        <v>0</v>
      </c>
      <c r="AQ20" s="5">
        <f>COUNTIFS(J:J,AO20,G:G,$AQ$14)</f>
        <v>0</v>
      </c>
      <c r="AR20" s="6">
        <f>COUNTIFS(J:J,AO20,G:G,$AR$14)</f>
        <v>0</v>
      </c>
      <c r="AS20" s="7">
        <f>COUNTIFS(J:J,AO20,G:G,AS$14)</f>
        <v>0</v>
      </c>
      <c r="AT20" s="8">
        <f t="shared" si="10"/>
        <v>0</v>
      </c>
      <c r="AU20" s="11" t="e">
        <f t="shared" si="11"/>
        <v>#DIV/0!</v>
      </c>
      <c r="AV20" s="22" t="e">
        <f t="shared" si="12"/>
        <v>#DIV/0!</v>
      </c>
    </row>
    <row r="21" spans="1:48">
      <c r="A21" s="50"/>
      <c r="B21" s="24">
        <v>19</v>
      </c>
      <c r="C21" s="24" t="s">
        <v>142</v>
      </c>
      <c r="D21" s="24" t="s">
        <v>45</v>
      </c>
      <c r="E21" s="24">
        <v>0</v>
      </c>
      <c r="F21" s="24">
        <v>0</v>
      </c>
      <c r="G21" s="41" t="s">
        <v>32</v>
      </c>
      <c r="H21" s="24"/>
      <c r="I21" s="24"/>
      <c r="J21" s="24"/>
      <c r="K21" s="57"/>
      <c r="L21" s="58"/>
      <c r="M21" s="58"/>
      <c r="N21" s="58"/>
      <c r="O21" s="59"/>
      <c r="P21" s="60"/>
      <c r="Q21" s="61"/>
      <c r="R21" s="61"/>
      <c r="S21" s="61"/>
      <c r="T21" s="59"/>
      <c r="W21" s="70" t="s">
        <v>182</v>
      </c>
      <c r="X21" s="51">
        <f t="shared" si="0"/>
        <v>0</v>
      </c>
      <c r="Y21" s="1"/>
      <c r="Z21" s="70" t="s">
        <v>182</v>
      </c>
      <c r="AA21" s="51">
        <f t="shared" si="1"/>
        <v>0</v>
      </c>
      <c r="AC21" s="2"/>
      <c r="AD21" s="20"/>
      <c r="AE21" s="2"/>
      <c r="AF21" s="5"/>
      <c r="AG21" s="5"/>
      <c r="AH21" s="5"/>
      <c r="AI21" s="8"/>
      <c r="AJ21" s="9"/>
      <c r="AK21" s="22"/>
      <c r="AO21" s="20" t="s">
        <v>249</v>
      </c>
      <c r="AP21" s="20">
        <f t="shared" si="9"/>
        <v>0</v>
      </c>
      <c r="AQ21" s="5">
        <f>COUNTIFS(J:J,AO21,G:G,$AQ$14)</f>
        <v>0</v>
      </c>
      <c r="AR21" s="6">
        <f>COUNTIFS(J:J,AO21,G:G,$AR$14)</f>
        <v>0</v>
      </c>
      <c r="AS21" s="7">
        <f>COUNTIFS(J:J,AO21,G:G,AS$14)</f>
        <v>0</v>
      </c>
      <c r="AT21" s="26">
        <f t="shared" si="10"/>
        <v>0</v>
      </c>
      <c r="AU21" s="11" t="e">
        <f t="shared" si="11"/>
        <v>#DIV/0!</v>
      </c>
      <c r="AV21" s="25" t="e">
        <f t="shared" si="12"/>
        <v>#DIV/0!</v>
      </c>
    </row>
    <row r="22" spans="1:48">
      <c r="A22" s="50"/>
      <c r="B22" s="24">
        <v>20</v>
      </c>
      <c r="C22" s="24" t="s">
        <v>246</v>
      </c>
      <c r="D22" s="24" t="s">
        <v>45</v>
      </c>
      <c r="E22" s="24">
        <v>0</v>
      </c>
      <c r="F22" s="24">
        <v>1</v>
      </c>
      <c r="G22" s="41" t="s">
        <v>33</v>
      </c>
      <c r="H22" s="24"/>
      <c r="I22" s="24"/>
      <c r="J22" s="24"/>
      <c r="K22" s="57"/>
      <c r="L22" s="58"/>
      <c r="M22" s="58"/>
      <c r="N22" s="58"/>
      <c r="O22" s="59"/>
      <c r="P22" s="60"/>
      <c r="Q22" s="61"/>
      <c r="R22" s="61"/>
      <c r="S22" s="61"/>
      <c r="T22" s="59"/>
      <c r="W22" s="70" t="s">
        <v>183</v>
      </c>
      <c r="X22" s="51">
        <f t="shared" si="0"/>
        <v>0</v>
      </c>
      <c r="Y22" s="1"/>
      <c r="Z22" s="70" t="s">
        <v>183</v>
      </c>
      <c r="AA22" s="51">
        <f t="shared" si="1"/>
        <v>0</v>
      </c>
      <c r="AO22" s="20" t="s">
        <v>335</v>
      </c>
      <c r="AP22" s="2">
        <f t="shared" si="9"/>
        <v>0</v>
      </c>
      <c r="AQ22" s="5">
        <f>COUNTIFS(J:J,AO22,G:G,$AQ$14)</f>
        <v>0</v>
      </c>
      <c r="AR22" s="6">
        <f>COUNTIFS(J:J,AO22,G:G,$AR$14)</f>
        <v>0</v>
      </c>
      <c r="AS22" s="7">
        <f>COUNTIFS(J:J,AO22,G:G,AS$14)</f>
        <v>0</v>
      </c>
      <c r="AT22" s="31">
        <f t="shared" si="10"/>
        <v>0</v>
      </c>
      <c r="AU22" s="11" t="e">
        <f t="shared" si="11"/>
        <v>#DIV/0!</v>
      </c>
      <c r="AV22" s="22" t="e">
        <f t="shared" si="12"/>
        <v>#DIV/0!</v>
      </c>
    </row>
    <row r="23" spans="1:48">
      <c r="A23" s="50"/>
      <c r="B23" s="24">
        <v>21</v>
      </c>
      <c r="C23" s="24" t="s">
        <v>67</v>
      </c>
      <c r="D23" s="24" t="s">
        <v>49</v>
      </c>
      <c r="E23" s="24">
        <v>2</v>
      </c>
      <c r="F23" s="24">
        <v>2</v>
      </c>
      <c r="G23" s="41" t="s">
        <v>32</v>
      </c>
      <c r="H23" s="24"/>
      <c r="I23" s="24"/>
      <c r="J23" s="24"/>
      <c r="K23" s="57" t="s">
        <v>143</v>
      </c>
      <c r="L23" s="58" t="s">
        <v>87</v>
      </c>
      <c r="M23" s="58"/>
      <c r="N23" s="58"/>
      <c r="O23" s="59"/>
      <c r="P23" s="60"/>
      <c r="Q23" s="61"/>
      <c r="R23" s="61"/>
      <c r="S23" s="61"/>
      <c r="T23" s="59"/>
      <c r="W23" s="70" t="s">
        <v>281</v>
      </c>
      <c r="X23" s="51">
        <f t="shared" si="0"/>
        <v>1</v>
      </c>
      <c r="Y23" s="1"/>
      <c r="Z23" s="70" t="s">
        <v>281</v>
      </c>
      <c r="AA23" s="51">
        <f t="shared" si="1"/>
        <v>0</v>
      </c>
    </row>
    <row r="24" spans="1:48">
      <c r="A24" s="50"/>
      <c r="B24" s="24">
        <v>22</v>
      </c>
      <c r="C24" s="24" t="s">
        <v>72</v>
      </c>
      <c r="D24" s="24" t="s">
        <v>49</v>
      </c>
      <c r="E24" s="24">
        <v>1</v>
      </c>
      <c r="F24" s="24">
        <v>0</v>
      </c>
      <c r="G24" s="41" t="s">
        <v>31</v>
      </c>
      <c r="H24" s="24"/>
      <c r="I24" s="24"/>
      <c r="J24" s="24"/>
      <c r="K24" s="57" t="s">
        <v>143</v>
      </c>
      <c r="L24" s="58"/>
      <c r="M24" s="58"/>
      <c r="N24" s="58"/>
      <c r="O24" s="59"/>
      <c r="P24" s="60"/>
      <c r="Q24" s="61"/>
      <c r="R24" s="61"/>
      <c r="S24" s="61"/>
      <c r="T24" s="59"/>
      <c r="W24" s="70" t="s">
        <v>279</v>
      </c>
      <c r="X24" s="51">
        <f t="shared" si="0"/>
        <v>0</v>
      </c>
      <c r="Y24" s="1"/>
      <c r="Z24" s="70" t="s">
        <v>279</v>
      </c>
      <c r="AA24" s="51">
        <f t="shared" si="1"/>
        <v>0</v>
      </c>
      <c r="AD24" s="4" t="s">
        <v>7</v>
      </c>
      <c r="AE24" s="4" t="s">
        <v>30</v>
      </c>
      <c r="AF24" s="4" t="s">
        <v>31</v>
      </c>
      <c r="AG24" s="4" t="s">
        <v>32</v>
      </c>
      <c r="AH24" s="4" t="s">
        <v>33</v>
      </c>
      <c r="AI24" s="4" t="s">
        <v>34</v>
      </c>
      <c r="AJ24" s="4" t="s">
        <v>35</v>
      </c>
      <c r="AK24" s="4" t="s">
        <v>8</v>
      </c>
      <c r="AL24" s="4" t="s">
        <v>9</v>
      </c>
      <c r="AM24" s="4" t="s">
        <v>36</v>
      </c>
      <c r="AN24" s="4" t="s">
        <v>37</v>
      </c>
      <c r="AO24" s="4" t="s">
        <v>38</v>
      </c>
      <c r="AP24" s="4" t="s">
        <v>39</v>
      </c>
    </row>
    <row r="25" spans="1:48">
      <c r="A25" s="49"/>
      <c r="B25" s="30">
        <v>25</v>
      </c>
      <c r="C25" s="30" t="s">
        <v>145</v>
      </c>
      <c r="D25" s="30" t="s">
        <v>49</v>
      </c>
      <c r="E25" s="30">
        <v>1</v>
      </c>
      <c r="F25" s="30">
        <v>3</v>
      </c>
      <c r="G25" s="40" t="s">
        <v>33</v>
      </c>
      <c r="H25" s="30"/>
      <c r="I25" s="30"/>
      <c r="J25" s="30"/>
      <c r="K25" s="53" t="s">
        <v>112</v>
      </c>
      <c r="L25" s="15"/>
      <c r="M25" s="15"/>
      <c r="N25" s="15"/>
      <c r="O25" s="54"/>
      <c r="P25" s="55"/>
      <c r="Q25" s="56"/>
      <c r="R25" s="56"/>
      <c r="S25" s="56"/>
      <c r="T25" s="54"/>
      <c r="W25" s="70" t="s">
        <v>112</v>
      </c>
      <c r="X25" s="51">
        <f t="shared" si="0"/>
        <v>1</v>
      </c>
      <c r="Y25" s="1"/>
      <c r="Z25" s="70" t="s">
        <v>112</v>
      </c>
      <c r="AA25" s="51">
        <f t="shared" si="1"/>
        <v>0</v>
      </c>
      <c r="AD25" s="2" t="s">
        <v>45</v>
      </c>
      <c r="AE25" s="2">
        <f>SUM(AF25:AH25)</f>
        <v>20</v>
      </c>
      <c r="AF25" s="5">
        <f>COUNTIFS(D:D,AD25,G:G,AF24)</f>
        <v>7</v>
      </c>
      <c r="AG25" s="6">
        <f>COUNTIFS(D:D,AD25,G:G,AG24)</f>
        <v>8</v>
      </c>
      <c r="AH25" s="7">
        <f>COUNTIFS(D:D,AD25,G:G,AH24)</f>
        <v>5</v>
      </c>
      <c r="AI25" s="26">
        <f>AF25*3+AG25</f>
        <v>29</v>
      </c>
      <c r="AJ25" s="10">
        <f>AF25/AE25</f>
        <v>0.35</v>
      </c>
      <c r="AK25" s="2">
        <f>SUMIF(D:D,AD25,E:E)</f>
        <v>23</v>
      </c>
      <c r="AL25" s="2">
        <f>SUMIF(D:D,AD25,F:F)</f>
        <v>18</v>
      </c>
      <c r="AM25" s="2">
        <f>AK25-AL25</f>
        <v>5</v>
      </c>
      <c r="AN25" s="22">
        <f>AI25/AE25</f>
        <v>1.45</v>
      </c>
      <c r="AO25" s="22">
        <f>AK25/AE25</f>
        <v>1.1499999999999999</v>
      </c>
      <c r="AP25" s="22">
        <f>AL25/AE25</f>
        <v>0.9</v>
      </c>
    </row>
    <row r="26" spans="1:48">
      <c r="A26" s="49"/>
      <c r="B26" s="30">
        <v>26</v>
      </c>
      <c r="C26" s="30" t="s">
        <v>246</v>
      </c>
      <c r="D26" s="30" t="s">
        <v>45</v>
      </c>
      <c r="E26" s="30">
        <v>1</v>
      </c>
      <c r="F26" s="30">
        <v>1</v>
      </c>
      <c r="G26" s="40" t="s">
        <v>32</v>
      </c>
      <c r="H26" s="30"/>
      <c r="I26" s="30"/>
      <c r="J26" s="30"/>
      <c r="K26" s="53" t="s">
        <v>143</v>
      </c>
      <c r="L26" s="15"/>
      <c r="M26" s="15"/>
      <c r="N26" s="15"/>
      <c r="O26" s="54"/>
      <c r="P26" s="55"/>
      <c r="Q26" s="56"/>
      <c r="R26" s="56"/>
      <c r="S26" s="56"/>
      <c r="T26" s="54"/>
      <c r="W26" s="70" t="s">
        <v>268</v>
      </c>
      <c r="X26" s="51">
        <f t="shared" si="0"/>
        <v>0</v>
      </c>
      <c r="Y26" s="1"/>
      <c r="Z26" s="70" t="s">
        <v>268</v>
      </c>
      <c r="AA26" s="51">
        <f t="shared" si="1"/>
        <v>0</v>
      </c>
      <c r="AD26" s="2" t="s">
        <v>49</v>
      </c>
      <c r="AE26" s="2">
        <f>SUM(AF26:AH26)</f>
        <v>18</v>
      </c>
      <c r="AF26" s="5">
        <f>COUNTIFS(D:D,AD26,G:G,AF24)</f>
        <v>6</v>
      </c>
      <c r="AG26" s="6">
        <f>COUNTIFS(D:D,AD26,G:G,AG24)</f>
        <v>7</v>
      </c>
      <c r="AH26" s="7">
        <f>COUNTIFS(D:D,AD26,G:G,AH24)</f>
        <v>5</v>
      </c>
      <c r="AI26" s="26">
        <f>AF26*3+AG26</f>
        <v>25</v>
      </c>
      <c r="AJ26" s="23">
        <f>AF26/AE26</f>
        <v>0.33333333333333331</v>
      </c>
      <c r="AK26" s="2">
        <f>SUMIF(D:D,AD26,E:E)</f>
        <v>23</v>
      </c>
      <c r="AL26" s="2">
        <f>SUMIF(D:D,AD26,F:F)</f>
        <v>24</v>
      </c>
      <c r="AM26" s="2">
        <f>AK26-AL26</f>
        <v>-1</v>
      </c>
      <c r="AN26" s="22">
        <f>AI26/AE26</f>
        <v>1.3888888888888888</v>
      </c>
      <c r="AO26" s="22">
        <f>AK26/AE26</f>
        <v>1.2777777777777777</v>
      </c>
      <c r="AP26" s="22">
        <f>AL26/AE26</f>
        <v>1.3333333333333333</v>
      </c>
    </row>
    <row r="27" spans="1:48">
      <c r="A27" s="49"/>
      <c r="B27" s="30">
        <v>27</v>
      </c>
      <c r="C27" s="30" t="s">
        <v>265</v>
      </c>
      <c r="D27" s="30" t="s">
        <v>49</v>
      </c>
      <c r="E27" s="30">
        <v>3</v>
      </c>
      <c r="F27" s="30">
        <v>2</v>
      </c>
      <c r="G27" s="40" t="s">
        <v>31</v>
      </c>
      <c r="H27" s="30"/>
      <c r="I27" s="30"/>
      <c r="J27" s="30"/>
      <c r="K27" s="53" t="s">
        <v>73</v>
      </c>
      <c r="L27" s="15" t="s">
        <v>300</v>
      </c>
      <c r="M27" s="15" t="s">
        <v>170</v>
      </c>
      <c r="N27" s="15"/>
      <c r="O27" s="54"/>
      <c r="P27" s="55"/>
      <c r="Q27" s="56"/>
      <c r="R27" s="56"/>
      <c r="S27" s="56"/>
      <c r="T27" s="54"/>
      <c r="W27" s="71" t="s">
        <v>177</v>
      </c>
      <c r="X27" s="51">
        <f t="shared" si="0"/>
        <v>0</v>
      </c>
      <c r="Y27" s="1"/>
      <c r="Z27" s="71" t="s">
        <v>177</v>
      </c>
      <c r="AA27" s="51">
        <f t="shared" si="1"/>
        <v>0</v>
      </c>
      <c r="AD27" s="13" t="s">
        <v>60</v>
      </c>
      <c r="AE27" s="13">
        <f>SUM(AE25:AE26)</f>
        <v>38</v>
      </c>
      <c r="AF27" s="13">
        <f>SUM(AF25:AF26)</f>
        <v>13</v>
      </c>
      <c r="AG27" s="13">
        <f>SUM(AG25:AG26)</f>
        <v>15</v>
      </c>
      <c r="AH27" s="13">
        <f>SUM(AH25:AH26)</f>
        <v>10</v>
      </c>
      <c r="AI27" s="13">
        <f>SUM(AI25:AI26)</f>
        <v>54</v>
      </c>
      <c r="AJ27" s="14">
        <f>AF27/AE27</f>
        <v>0.34210526315789475</v>
      </c>
      <c r="AK27" s="13">
        <f>SUM(AK25:AK26)</f>
        <v>46</v>
      </c>
      <c r="AL27" s="13">
        <f>SUM(AL25:AL26)</f>
        <v>42</v>
      </c>
      <c r="AM27" s="13">
        <f>SUM(AM25:AM26)</f>
        <v>4</v>
      </c>
      <c r="AN27" s="32">
        <f>AI27/AE27</f>
        <v>1.4210526315789473</v>
      </c>
      <c r="AO27" s="32">
        <f>AK27/AE27</f>
        <v>1.2105263157894737</v>
      </c>
      <c r="AP27" s="32">
        <f>AL27/AE27</f>
        <v>1.1052631578947369</v>
      </c>
    </row>
    <row r="28" spans="1:48">
      <c r="A28" s="49"/>
      <c r="B28" s="30">
        <v>28</v>
      </c>
      <c r="C28" s="30" t="s">
        <v>67</v>
      </c>
      <c r="D28" s="30" t="s">
        <v>45</v>
      </c>
      <c r="E28" s="30">
        <v>3</v>
      </c>
      <c r="F28" s="30">
        <v>1</v>
      </c>
      <c r="G28" s="40" t="s">
        <v>31</v>
      </c>
      <c r="H28" s="30"/>
      <c r="I28" s="30"/>
      <c r="J28" s="30"/>
      <c r="K28" s="53" t="s">
        <v>300</v>
      </c>
      <c r="L28" s="15" t="s">
        <v>261</v>
      </c>
      <c r="M28" s="15" t="s">
        <v>300</v>
      </c>
      <c r="N28" s="15"/>
      <c r="O28" s="54"/>
      <c r="P28" s="55"/>
      <c r="Q28" s="56"/>
      <c r="R28" s="56"/>
      <c r="S28" s="56"/>
      <c r="T28" s="54"/>
      <c r="W28" s="71" t="s">
        <v>278</v>
      </c>
      <c r="X28" s="51">
        <f t="shared" si="0"/>
        <v>0</v>
      </c>
      <c r="Y28" s="1"/>
      <c r="Z28" s="71" t="s">
        <v>278</v>
      </c>
      <c r="AA28" s="51">
        <f t="shared" si="1"/>
        <v>0</v>
      </c>
      <c r="AD28" s="4" t="s">
        <v>66</v>
      </c>
      <c r="AE28" s="4" t="s">
        <v>30</v>
      </c>
      <c r="AF28" s="4" t="s">
        <v>31</v>
      </c>
      <c r="AG28" s="4" t="s">
        <v>32</v>
      </c>
      <c r="AH28" s="4" t="s">
        <v>33</v>
      </c>
      <c r="AI28" s="4" t="s">
        <v>34</v>
      </c>
      <c r="AJ28" s="4" t="s">
        <v>35</v>
      </c>
      <c r="AK28" s="4" t="s">
        <v>8</v>
      </c>
      <c r="AL28" s="4" t="s">
        <v>9</v>
      </c>
      <c r="AM28" s="4" t="s">
        <v>36</v>
      </c>
    </row>
    <row r="29" spans="1:48">
      <c r="A29" s="49"/>
      <c r="B29" s="30">
        <v>24</v>
      </c>
      <c r="C29" s="30" t="s">
        <v>57</v>
      </c>
      <c r="D29" s="30" t="s">
        <v>49</v>
      </c>
      <c r="E29" s="30">
        <v>1</v>
      </c>
      <c r="F29" s="30">
        <v>1</v>
      </c>
      <c r="G29" s="40" t="s">
        <v>32</v>
      </c>
      <c r="H29" s="30"/>
      <c r="I29" s="30"/>
      <c r="J29" s="30"/>
      <c r="K29" s="53" t="s">
        <v>261</v>
      </c>
      <c r="L29" s="15"/>
      <c r="M29" s="15"/>
      <c r="N29" s="15"/>
      <c r="O29" s="54"/>
      <c r="P29" s="55"/>
      <c r="Q29" s="56"/>
      <c r="R29" s="56"/>
      <c r="S29" s="56"/>
      <c r="T29" s="54"/>
      <c r="W29" s="71" t="s">
        <v>189</v>
      </c>
      <c r="X29" s="51">
        <f t="shared" si="0"/>
        <v>0</v>
      </c>
      <c r="Y29" s="1"/>
      <c r="Z29" s="71" t="s">
        <v>189</v>
      </c>
      <c r="AA29" s="51">
        <f t="shared" si="1"/>
        <v>0</v>
      </c>
      <c r="AD29" s="2" t="s">
        <v>67</v>
      </c>
      <c r="AE29" s="2">
        <f t="shared" ref="AE29:AE39" si="13">SUM(AF29:AH29)</f>
        <v>4</v>
      </c>
      <c r="AF29" s="5">
        <f t="shared" ref="AF29:AF39" si="14">COUNTIFS(C:C,AD29,G:G,"승")</f>
        <v>1</v>
      </c>
      <c r="AG29" s="6">
        <f t="shared" ref="AG29:AG39" si="15">COUNTIFS(C:C,AD29,G:G,"무")</f>
        <v>1</v>
      </c>
      <c r="AH29" s="7">
        <f t="shared" ref="AH29:AH39" si="16">COUNTIFS(C:C,AD29,G:G,"패")</f>
        <v>2</v>
      </c>
      <c r="AI29" s="26">
        <f t="shared" ref="AI29:AI39" si="17">AF29*3+AG29</f>
        <v>4</v>
      </c>
      <c r="AJ29" s="23">
        <f t="shared" ref="AJ29:AJ39" si="18">AF29/AE29</f>
        <v>0.25</v>
      </c>
      <c r="AK29" s="2">
        <f t="shared" ref="AK29:AK39" si="19">SUMIF(C:C,AD29,E:E)</f>
        <v>6</v>
      </c>
      <c r="AL29" s="2">
        <f t="shared" ref="AL29:AL39" si="20">SUMIF(C:C,AD29,F:F)</f>
        <v>6</v>
      </c>
      <c r="AM29" s="2">
        <f t="shared" ref="AM29:AM39" si="21">AK29-AL29</f>
        <v>0</v>
      </c>
    </row>
    <row r="30" spans="1:48">
      <c r="A30" s="49"/>
      <c r="B30" s="30">
        <v>23</v>
      </c>
      <c r="C30" s="30" t="s">
        <v>44</v>
      </c>
      <c r="D30" s="30" t="s">
        <v>45</v>
      </c>
      <c r="E30" s="30">
        <v>2</v>
      </c>
      <c r="F30" s="30">
        <v>0</v>
      </c>
      <c r="G30" s="40" t="s">
        <v>31</v>
      </c>
      <c r="H30" s="30"/>
      <c r="I30" s="30"/>
      <c r="J30" s="30"/>
      <c r="K30" s="53" t="s">
        <v>300</v>
      </c>
      <c r="L30" s="15" t="s">
        <v>170</v>
      </c>
      <c r="M30" s="15"/>
      <c r="N30" s="15"/>
      <c r="O30" s="54"/>
      <c r="P30" s="55"/>
      <c r="Q30" s="56"/>
      <c r="R30" s="56"/>
      <c r="S30" s="56"/>
      <c r="T30" s="54"/>
      <c r="W30" s="71" t="s">
        <v>97</v>
      </c>
      <c r="X30" s="51">
        <f t="shared" si="0"/>
        <v>0</v>
      </c>
      <c r="Y30" s="1"/>
      <c r="Z30" s="71" t="s">
        <v>97</v>
      </c>
      <c r="AA30" s="51">
        <f t="shared" si="1"/>
        <v>0</v>
      </c>
      <c r="AD30" s="2" t="s">
        <v>55</v>
      </c>
      <c r="AE30" s="2">
        <f t="shared" si="13"/>
        <v>4</v>
      </c>
      <c r="AF30" s="5">
        <f t="shared" si="14"/>
        <v>0</v>
      </c>
      <c r="AG30" s="6">
        <f t="shared" si="15"/>
        <v>3</v>
      </c>
      <c r="AH30" s="7">
        <f t="shared" si="16"/>
        <v>1</v>
      </c>
      <c r="AI30" s="26">
        <f t="shared" si="17"/>
        <v>3</v>
      </c>
      <c r="AJ30" s="23">
        <f t="shared" si="18"/>
        <v>0</v>
      </c>
      <c r="AK30" s="2">
        <f t="shared" si="19"/>
        <v>3</v>
      </c>
      <c r="AL30" s="2">
        <f t="shared" si="20"/>
        <v>6</v>
      </c>
      <c r="AM30" s="2">
        <f t="shared" si="21"/>
        <v>-3</v>
      </c>
    </row>
    <row r="31" spans="1:48">
      <c r="A31" s="49"/>
      <c r="B31" s="30">
        <v>29</v>
      </c>
      <c r="C31" s="30" t="s">
        <v>71</v>
      </c>
      <c r="D31" s="30" t="s">
        <v>45</v>
      </c>
      <c r="E31" s="30">
        <v>0</v>
      </c>
      <c r="F31" s="30">
        <v>1</v>
      </c>
      <c r="G31" s="40" t="s">
        <v>33</v>
      </c>
      <c r="H31" s="30"/>
      <c r="I31" s="30"/>
      <c r="J31" s="30"/>
      <c r="K31" s="53"/>
      <c r="L31" s="15"/>
      <c r="M31" s="15"/>
      <c r="N31" s="15"/>
      <c r="O31" s="54"/>
      <c r="P31" s="55"/>
      <c r="Q31" s="56"/>
      <c r="R31" s="56"/>
      <c r="S31" s="56"/>
      <c r="T31" s="54"/>
      <c r="W31" s="71" t="s">
        <v>280</v>
      </c>
      <c r="X31" s="51">
        <f t="shared" si="0"/>
        <v>0</v>
      </c>
      <c r="Y31" s="1"/>
      <c r="Z31" s="71" t="s">
        <v>280</v>
      </c>
      <c r="AA31" s="51">
        <f t="shared" si="1"/>
        <v>0</v>
      </c>
      <c r="AD31" s="2" t="s">
        <v>57</v>
      </c>
      <c r="AE31" s="2">
        <f t="shared" si="13"/>
        <v>4</v>
      </c>
      <c r="AF31" s="5">
        <f t="shared" si="14"/>
        <v>0</v>
      </c>
      <c r="AG31" s="6">
        <f t="shared" si="15"/>
        <v>2</v>
      </c>
      <c r="AH31" s="7">
        <f t="shared" si="16"/>
        <v>2</v>
      </c>
      <c r="AI31" s="26">
        <f t="shared" si="17"/>
        <v>2</v>
      </c>
      <c r="AJ31" s="23">
        <f t="shared" si="18"/>
        <v>0</v>
      </c>
      <c r="AK31" s="2">
        <f t="shared" si="19"/>
        <v>2</v>
      </c>
      <c r="AL31" s="2">
        <f t="shared" si="20"/>
        <v>5</v>
      </c>
      <c r="AM31" s="2">
        <f t="shared" si="21"/>
        <v>-3</v>
      </c>
    </row>
    <row r="32" spans="1:48">
      <c r="A32" s="49"/>
      <c r="B32" s="30">
        <v>30</v>
      </c>
      <c r="C32" s="30" t="s">
        <v>77</v>
      </c>
      <c r="D32" s="30" t="s">
        <v>49</v>
      </c>
      <c r="E32" s="30">
        <v>1</v>
      </c>
      <c r="F32" s="30">
        <v>0</v>
      </c>
      <c r="G32" s="40" t="s">
        <v>31</v>
      </c>
      <c r="H32" s="30"/>
      <c r="I32" s="30"/>
      <c r="J32" s="30"/>
      <c r="K32" s="53" t="s">
        <v>336</v>
      </c>
      <c r="L32" s="15"/>
      <c r="M32" s="15"/>
      <c r="N32" s="15"/>
      <c r="O32" s="54"/>
      <c r="P32" s="55"/>
      <c r="Q32" s="56"/>
      <c r="R32" s="56"/>
      <c r="S32" s="56"/>
      <c r="T32" s="54"/>
      <c r="W32" s="71" t="s">
        <v>105</v>
      </c>
      <c r="X32" s="51">
        <f t="shared" si="0"/>
        <v>0</v>
      </c>
      <c r="Y32" s="1"/>
      <c r="Z32" s="71" t="s">
        <v>105</v>
      </c>
      <c r="AA32" s="51">
        <f t="shared" si="1"/>
        <v>0</v>
      </c>
      <c r="AD32" s="2" t="s">
        <v>77</v>
      </c>
      <c r="AE32" s="2">
        <f t="shared" si="13"/>
        <v>4</v>
      </c>
      <c r="AF32" s="5">
        <f t="shared" si="14"/>
        <v>2</v>
      </c>
      <c r="AG32" s="6">
        <f t="shared" si="15"/>
        <v>1</v>
      </c>
      <c r="AH32" s="7">
        <f t="shared" si="16"/>
        <v>1</v>
      </c>
      <c r="AI32" s="26">
        <f t="shared" si="17"/>
        <v>7</v>
      </c>
      <c r="AJ32" s="23">
        <f t="shared" si="18"/>
        <v>0.5</v>
      </c>
      <c r="AK32" s="2">
        <f t="shared" si="19"/>
        <v>7</v>
      </c>
      <c r="AL32" s="2">
        <f t="shared" si="20"/>
        <v>5</v>
      </c>
      <c r="AM32" s="2">
        <f t="shared" si="21"/>
        <v>2</v>
      </c>
    </row>
    <row r="33" spans="1:39">
      <c r="A33" s="49"/>
      <c r="B33" s="30">
        <v>31</v>
      </c>
      <c r="C33" s="30" t="s">
        <v>142</v>
      </c>
      <c r="D33" s="30" t="s">
        <v>49</v>
      </c>
      <c r="E33" s="30">
        <v>3</v>
      </c>
      <c r="F33" s="30">
        <v>3</v>
      </c>
      <c r="G33" s="40" t="s">
        <v>32</v>
      </c>
      <c r="H33" s="30"/>
      <c r="I33" s="30"/>
      <c r="J33" s="30"/>
      <c r="K33" s="53" t="s">
        <v>336</v>
      </c>
      <c r="L33" s="15" t="s">
        <v>307</v>
      </c>
      <c r="M33" s="15" t="s">
        <v>156</v>
      </c>
      <c r="N33" s="15"/>
      <c r="O33" s="54"/>
      <c r="P33" s="55"/>
      <c r="Q33" s="56"/>
      <c r="R33" s="56"/>
      <c r="S33" s="56"/>
      <c r="T33" s="54"/>
      <c r="W33" s="71" t="s">
        <v>178</v>
      </c>
      <c r="X33" s="51">
        <f t="shared" si="0"/>
        <v>0</v>
      </c>
      <c r="Y33" s="1"/>
      <c r="Z33" s="71" t="s">
        <v>178</v>
      </c>
      <c r="AA33" s="51">
        <f t="shared" si="1"/>
        <v>0</v>
      </c>
      <c r="AD33" s="2" t="s">
        <v>71</v>
      </c>
      <c r="AE33" s="2">
        <f t="shared" si="13"/>
        <v>4</v>
      </c>
      <c r="AF33" s="5">
        <f t="shared" si="14"/>
        <v>2</v>
      </c>
      <c r="AG33" s="6">
        <f t="shared" si="15"/>
        <v>1</v>
      </c>
      <c r="AH33" s="7">
        <f t="shared" si="16"/>
        <v>1</v>
      </c>
      <c r="AI33" s="26">
        <f t="shared" si="17"/>
        <v>7</v>
      </c>
      <c r="AJ33" s="23">
        <f t="shared" si="18"/>
        <v>0.5</v>
      </c>
      <c r="AK33" s="2">
        <f t="shared" si="19"/>
        <v>5</v>
      </c>
      <c r="AL33" s="2">
        <f t="shared" si="20"/>
        <v>2</v>
      </c>
      <c r="AM33" s="2">
        <f t="shared" si="21"/>
        <v>3</v>
      </c>
    </row>
    <row r="34" spans="1:39">
      <c r="A34" s="49"/>
      <c r="B34" s="30">
        <v>32</v>
      </c>
      <c r="C34" s="30" t="s">
        <v>55</v>
      </c>
      <c r="D34" s="30" t="s">
        <v>45</v>
      </c>
      <c r="E34" s="30">
        <v>0</v>
      </c>
      <c r="F34" s="30">
        <v>0</v>
      </c>
      <c r="G34" s="40" t="s">
        <v>32</v>
      </c>
      <c r="H34" s="30"/>
      <c r="I34" s="30"/>
      <c r="J34" s="30"/>
      <c r="K34" s="53"/>
      <c r="L34" s="15"/>
      <c r="M34" s="15"/>
      <c r="N34" s="15"/>
      <c r="O34" s="54"/>
      <c r="P34" s="55"/>
      <c r="Q34" s="56"/>
      <c r="R34" s="56"/>
      <c r="S34" s="56"/>
      <c r="T34" s="54"/>
      <c r="W34" s="68" t="s">
        <v>107</v>
      </c>
      <c r="X34" s="51">
        <f t="shared" si="0"/>
        <v>0</v>
      </c>
      <c r="Y34" s="1"/>
      <c r="Z34" s="68" t="s">
        <v>107</v>
      </c>
      <c r="AA34" s="51">
        <f t="shared" si="1"/>
        <v>0</v>
      </c>
      <c r="AD34" s="2" t="s">
        <v>246</v>
      </c>
      <c r="AE34" s="2">
        <f t="shared" si="13"/>
        <v>3</v>
      </c>
      <c r="AF34" s="5">
        <f t="shared" si="14"/>
        <v>0</v>
      </c>
      <c r="AG34" s="6">
        <f t="shared" si="15"/>
        <v>2</v>
      </c>
      <c r="AH34" s="7">
        <f t="shared" si="16"/>
        <v>1</v>
      </c>
      <c r="AI34" s="26">
        <f t="shared" si="17"/>
        <v>2</v>
      </c>
      <c r="AJ34" s="23">
        <f t="shared" si="18"/>
        <v>0</v>
      </c>
      <c r="AK34" s="2">
        <f t="shared" si="19"/>
        <v>3</v>
      </c>
      <c r="AL34" s="2">
        <f t="shared" si="20"/>
        <v>4</v>
      </c>
      <c r="AM34" s="2">
        <f t="shared" si="21"/>
        <v>-1</v>
      </c>
    </row>
    <row r="35" spans="1:39">
      <c r="A35" s="49"/>
      <c r="B35" s="30">
        <v>33</v>
      </c>
      <c r="C35" s="30" t="s">
        <v>72</v>
      </c>
      <c r="D35" s="30" t="s">
        <v>49</v>
      </c>
      <c r="E35" s="30">
        <v>0</v>
      </c>
      <c r="F35" s="30">
        <v>1</v>
      </c>
      <c r="G35" s="40" t="s">
        <v>33</v>
      </c>
      <c r="H35" s="30"/>
      <c r="I35" s="30"/>
      <c r="J35" s="30"/>
      <c r="K35" s="53"/>
      <c r="L35" s="15"/>
      <c r="M35" s="15"/>
      <c r="N35" s="15"/>
      <c r="O35" s="54"/>
      <c r="P35" s="55"/>
      <c r="Q35" s="56"/>
      <c r="R35" s="56"/>
      <c r="S35" s="56"/>
      <c r="T35" s="54"/>
      <c r="W35" s="68" t="s">
        <v>108</v>
      </c>
      <c r="X35" s="51">
        <f t="shared" si="0"/>
        <v>0</v>
      </c>
      <c r="Y35" s="1"/>
      <c r="Z35" s="68" t="s">
        <v>108</v>
      </c>
      <c r="AA35" s="51">
        <f t="shared" si="1"/>
        <v>0</v>
      </c>
      <c r="AD35" s="2" t="s">
        <v>44</v>
      </c>
      <c r="AE35" s="2">
        <f t="shared" si="13"/>
        <v>3</v>
      </c>
      <c r="AF35" s="5">
        <f t="shared" si="14"/>
        <v>1</v>
      </c>
      <c r="AG35" s="6">
        <f t="shared" si="15"/>
        <v>2</v>
      </c>
      <c r="AH35" s="7">
        <f t="shared" si="16"/>
        <v>0</v>
      </c>
      <c r="AI35" s="26">
        <f t="shared" si="17"/>
        <v>5</v>
      </c>
      <c r="AJ35" s="23">
        <f t="shared" si="18"/>
        <v>0.33333333333333331</v>
      </c>
      <c r="AK35" s="2">
        <f t="shared" si="19"/>
        <v>4</v>
      </c>
      <c r="AL35" s="2">
        <f t="shared" si="20"/>
        <v>2</v>
      </c>
      <c r="AM35" s="2">
        <f t="shared" si="21"/>
        <v>2</v>
      </c>
    </row>
    <row r="36" spans="1:39">
      <c r="A36" s="35"/>
      <c r="B36" s="24">
        <v>34</v>
      </c>
      <c r="C36" s="24" t="s">
        <v>55</v>
      </c>
      <c r="D36" s="24" t="s">
        <v>45</v>
      </c>
      <c r="E36" s="24">
        <v>0</v>
      </c>
      <c r="F36" s="24">
        <v>3</v>
      </c>
      <c r="G36" s="41" t="s">
        <v>33</v>
      </c>
      <c r="H36" s="24"/>
      <c r="I36" s="24"/>
      <c r="J36" s="24"/>
      <c r="K36" s="57"/>
      <c r="L36" s="58"/>
      <c r="M36" s="58"/>
      <c r="N36" s="58"/>
      <c r="O36" s="59"/>
      <c r="P36" s="60"/>
      <c r="Q36" s="61"/>
      <c r="R36" s="61"/>
      <c r="S36" s="61"/>
      <c r="T36" s="59"/>
      <c r="W36" s="68" t="s">
        <v>179</v>
      </c>
      <c r="X36" s="51">
        <f t="shared" si="0"/>
        <v>0</v>
      </c>
      <c r="Y36" s="1"/>
      <c r="Z36" s="68" t="s">
        <v>179</v>
      </c>
      <c r="AA36" s="51">
        <f t="shared" si="1"/>
        <v>0</v>
      </c>
      <c r="AD36" s="2" t="s">
        <v>265</v>
      </c>
      <c r="AE36" s="2">
        <f t="shared" si="13"/>
        <v>3</v>
      </c>
      <c r="AF36" s="5">
        <f t="shared" si="14"/>
        <v>2</v>
      </c>
      <c r="AG36" s="6">
        <f t="shared" si="15"/>
        <v>1</v>
      </c>
      <c r="AH36" s="7">
        <f t="shared" si="16"/>
        <v>0</v>
      </c>
      <c r="AI36" s="26">
        <f t="shared" si="17"/>
        <v>7</v>
      </c>
      <c r="AJ36" s="23">
        <f t="shared" si="18"/>
        <v>0.66666666666666663</v>
      </c>
      <c r="AK36" s="2">
        <f t="shared" si="19"/>
        <v>7</v>
      </c>
      <c r="AL36" s="2">
        <f t="shared" si="20"/>
        <v>5</v>
      </c>
      <c r="AM36" s="2">
        <f t="shared" si="21"/>
        <v>2</v>
      </c>
    </row>
    <row r="37" spans="1:39" ht="17.5" customHeight="1" thickBot="1">
      <c r="A37" s="35"/>
      <c r="B37" s="24">
        <v>35</v>
      </c>
      <c r="C37" s="24" t="s">
        <v>71</v>
      </c>
      <c r="D37" s="24" t="s">
        <v>49</v>
      </c>
      <c r="E37" s="24">
        <v>0</v>
      </c>
      <c r="F37" s="24">
        <v>0</v>
      </c>
      <c r="G37" s="41" t="s">
        <v>32</v>
      </c>
      <c r="H37" s="24"/>
      <c r="I37" s="24"/>
      <c r="J37" s="24"/>
      <c r="K37" s="57"/>
      <c r="L37" s="58"/>
      <c r="M37" s="58"/>
      <c r="N37" s="58"/>
      <c r="O37" s="59"/>
      <c r="P37" s="60"/>
      <c r="Q37" s="61"/>
      <c r="R37" s="61"/>
      <c r="S37" s="61"/>
      <c r="T37" s="59"/>
      <c r="W37" s="69" t="s">
        <v>284</v>
      </c>
      <c r="X37" s="52">
        <f t="shared" si="0"/>
        <v>0</v>
      </c>
      <c r="Y37" s="1"/>
      <c r="Z37" s="69" t="s">
        <v>284</v>
      </c>
      <c r="AA37" s="52">
        <f t="shared" si="1"/>
        <v>0</v>
      </c>
      <c r="AD37" s="2" t="s">
        <v>142</v>
      </c>
      <c r="AE37" s="2">
        <f t="shared" si="13"/>
        <v>3</v>
      </c>
      <c r="AF37" s="5">
        <f t="shared" si="14"/>
        <v>1</v>
      </c>
      <c r="AG37" s="6">
        <f t="shared" si="15"/>
        <v>2</v>
      </c>
      <c r="AH37" s="7">
        <f t="shared" si="16"/>
        <v>0</v>
      </c>
      <c r="AI37" s="26">
        <f t="shared" si="17"/>
        <v>5</v>
      </c>
      <c r="AJ37" s="23">
        <f t="shared" si="18"/>
        <v>0.33333333333333331</v>
      </c>
      <c r="AK37" s="2">
        <f t="shared" si="19"/>
        <v>4</v>
      </c>
      <c r="AL37" s="2">
        <f t="shared" si="20"/>
        <v>3</v>
      </c>
      <c r="AM37" s="2">
        <f t="shared" si="21"/>
        <v>1</v>
      </c>
    </row>
    <row r="38" spans="1:39">
      <c r="A38" s="35"/>
      <c r="B38" s="24">
        <v>36</v>
      </c>
      <c r="C38" s="24" t="s">
        <v>77</v>
      </c>
      <c r="D38" s="24" t="s">
        <v>45</v>
      </c>
      <c r="E38" s="24">
        <v>3</v>
      </c>
      <c r="F38" s="24">
        <v>1</v>
      </c>
      <c r="G38" s="41" t="s">
        <v>31</v>
      </c>
      <c r="H38" s="24"/>
      <c r="I38" s="24"/>
      <c r="J38" s="24"/>
      <c r="K38" s="62" t="s">
        <v>318</v>
      </c>
      <c r="L38" s="58" t="s">
        <v>156</v>
      </c>
      <c r="M38" s="58" t="s">
        <v>111</v>
      </c>
      <c r="N38" s="58"/>
      <c r="O38" s="59"/>
      <c r="P38" s="60"/>
      <c r="Q38" s="61"/>
      <c r="R38" s="61"/>
      <c r="S38" s="61"/>
      <c r="T38" s="59"/>
      <c r="AD38" s="2" t="s">
        <v>72</v>
      </c>
      <c r="AE38" s="2">
        <f t="shared" si="13"/>
        <v>3</v>
      </c>
      <c r="AF38" s="5">
        <f t="shared" si="14"/>
        <v>2</v>
      </c>
      <c r="AG38" s="6">
        <f t="shared" si="15"/>
        <v>0</v>
      </c>
      <c r="AH38" s="7">
        <f t="shared" si="16"/>
        <v>1</v>
      </c>
      <c r="AI38" s="26">
        <f t="shared" si="17"/>
        <v>6</v>
      </c>
      <c r="AJ38" s="23">
        <f t="shared" si="18"/>
        <v>0.66666666666666663</v>
      </c>
      <c r="AK38" s="2">
        <f t="shared" si="19"/>
        <v>2</v>
      </c>
      <c r="AL38" s="2">
        <f t="shared" si="20"/>
        <v>1</v>
      </c>
      <c r="AM38" s="2">
        <f t="shared" si="21"/>
        <v>1</v>
      </c>
    </row>
    <row r="39" spans="1:39">
      <c r="A39" s="35"/>
      <c r="B39" s="24">
        <v>37</v>
      </c>
      <c r="C39" s="24" t="s">
        <v>57</v>
      </c>
      <c r="D39" s="24" t="s">
        <v>45</v>
      </c>
      <c r="E39" s="24">
        <v>1</v>
      </c>
      <c r="F39" s="24">
        <v>1</v>
      </c>
      <c r="G39" s="41" t="s">
        <v>32</v>
      </c>
      <c r="H39" s="24"/>
      <c r="I39" s="24"/>
      <c r="J39" s="24"/>
      <c r="K39" s="57" t="s">
        <v>143</v>
      </c>
      <c r="L39" s="58"/>
      <c r="M39" s="58"/>
      <c r="N39" s="58"/>
      <c r="O39" s="59"/>
      <c r="P39" s="60"/>
      <c r="Q39" s="61"/>
      <c r="R39" s="61"/>
      <c r="S39" s="61"/>
      <c r="T39" s="59"/>
      <c r="AD39" s="2" t="s">
        <v>145</v>
      </c>
      <c r="AE39" s="2">
        <f t="shared" si="13"/>
        <v>3</v>
      </c>
      <c r="AF39" s="5">
        <f t="shared" si="14"/>
        <v>2</v>
      </c>
      <c r="AG39" s="6">
        <f t="shared" si="15"/>
        <v>0</v>
      </c>
      <c r="AH39" s="7">
        <f t="shared" si="16"/>
        <v>1</v>
      </c>
      <c r="AI39" s="26">
        <f t="shared" si="17"/>
        <v>6</v>
      </c>
      <c r="AJ39" s="23">
        <f t="shared" si="18"/>
        <v>0.66666666666666663</v>
      </c>
      <c r="AK39" s="2">
        <f t="shared" si="19"/>
        <v>3</v>
      </c>
      <c r="AL39" s="2">
        <f t="shared" si="20"/>
        <v>3</v>
      </c>
      <c r="AM39" s="2">
        <f t="shared" si="21"/>
        <v>0</v>
      </c>
    </row>
    <row r="40" spans="1:39" ht="17.5" customHeight="1" thickBot="1">
      <c r="A40" s="36"/>
      <c r="B40" s="37">
        <v>38</v>
      </c>
      <c r="C40" s="37" t="s">
        <v>67</v>
      </c>
      <c r="D40" s="37" t="s">
        <v>49</v>
      </c>
      <c r="E40" s="37">
        <v>1</v>
      </c>
      <c r="F40" s="37">
        <v>2</v>
      </c>
      <c r="G40" s="42" t="s">
        <v>33</v>
      </c>
      <c r="H40" s="37"/>
      <c r="I40" s="37"/>
      <c r="J40" s="37"/>
      <c r="K40" s="63" t="s">
        <v>156</v>
      </c>
      <c r="L40" s="64"/>
      <c r="M40" s="64"/>
      <c r="N40" s="64"/>
      <c r="O40" s="65"/>
      <c r="P40" s="66"/>
      <c r="Q40" s="67"/>
      <c r="R40" s="67"/>
      <c r="S40" s="67"/>
      <c r="T40" s="65"/>
    </row>
  </sheetData>
  <phoneticPr fontId="3" type="noConversion"/>
  <conditionalFormatting sqref="AV3:AV13">
    <cfRule type="aboveAverage" dxfId="3" priority="1"/>
    <cfRule type="top10" dxfId="2" priority="4" percent="1" rank="10"/>
  </conditionalFormatting>
  <conditionalFormatting sqref="AV15:AV22">
    <cfRule type="aboveAverage" dxfId="1" priority="2"/>
    <cfRule type="top10" dxfId="0" priority="3" percent="1" rank="10"/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U40"/>
  <sheetViews>
    <sheetView showGridLines="0" workbookViewId="0">
      <selection activeCell="E34" sqref="E34"/>
    </sheetView>
  </sheetViews>
  <sheetFormatPr defaultRowHeight="17"/>
  <cols>
    <col min="1" max="1" width="8.5" style="18" bestFit="1" customWidth="1"/>
    <col min="2" max="2" width="6.5" style="18" bestFit="1" customWidth="1"/>
    <col min="3" max="3" width="6.33203125" style="18" bestFit="1" customWidth="1"/>
    <col min="4" max="4" width="7.08203125" style="18" bestFit="1" customWidth="1"/>
    <col min="5" max="6" width="4.83203125" style="18" bestFit="1" customWidth="1"/>
    <col min="7" max="7" width="11.25" style="18" bestFit="1" customWidth="1"/>
    <col min="8" max="8" width="4.75" style="18" bestFit="1" customWidth="1"/>
    <col min="9" max="9" width="4.58203125" style="452" customWidth="1"/>
    <col min="10" max="10" width="7" style="452" customWidth="1"/>
    <col min="11" max="11" width="11.25" style="452" bestFit="1" customWidth="1"/>
    <col min="12" max="12" width="5" style="452" bestFit="1" customWidth="1"/>
    <col min="13" max="14" width="3.25" style="452" bestFit="1" customWidth="1"/>
    <col min="15" max="15" width="3.33203125" style="452" bestFit="1" customWidth="1"/>
    <col min="16" max="16" width="5" style="452" bestFit="1" customWidth="1"/>
    <col min="17" max="17" width="6.75" style="452" bestFit="1" customWidth="1"/>
    <col min="18" max="18" width="9.25" style="452" bestFit="1" customWidth="1"/>
    <col min="19" max="20" width="5.5" style="452" bestFit="1" customWidth="1"/>
    <col min="21" max="21" width="4.75" style="452" customWidth="1"/>
  </cols>
  <sheetData>
    <row r="2" spans="1:18">
      <c r="A2" s="19" t="s">
        <v>3</v>
      </c>
      <c r="B2" s="19" t="s">
        <v>5</v>
      </c>
      <c r="C2" s="19" t="s">
        <v>6</v>
      </c>
      <c r="D2" s="19" t="s">
        <v>7</v>
      </c>
      <c r="E2" s="19" t="s">
        <v>8</v>
      </c>
      <c r="F2" s="19" t="s">
        <v>9</v>
      </c>
      <c r="G2" s="19" t="s">
        <v>11</v>
      </c>
      <c r="H2" s="19" t="s">
        <v>10</v>
      </c>
      <c r="K2" s="4" t="s">
        <v>11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138</v>
      </c>
    </row>
    <row r="3" spans="1:18">
      <c r="A3" s="21">
        <v>44255</v>
      </c>
      <c r="B3" s="20">
        <v>1</v>
      </c>
      <c r="C3" s="20" t="s">
        <v>57</v>
      </c>
      <c r="D3" s="20" t="s">
        <v>49</v>
      </c>
      <c r="E3" s="20">
        <v>1</v>
      </c>
      <c r="F3" s="20">
        <v>2</v>
      </c>
      <c r="G3" s="20" t="s">
        <v>250</v>
      </c>
      <c r="H3" s="20" t="s">
        <v>33</v>
      </c>
      <c r="K3" s="2" t="s">
        <v>250</v>
      </c>
      <c r="L3" s="2">
        <f>SUM(M3:O3)</f>
        <v>12</v>
      </c>
      <c r="M3" s="5">
        <f>COUNTIFS(G:G,K3,H:H,M2)</f>
        <v>2</v>
      </c>
      <c r="N3" s="6">
        <f>COUNTIFS(G:G,K3,H:H,N2)</f>
        <v>4</v>
      </c>
      <c r="O3" s="7">
        <f>COUNTIFS(G:G,K3,H:H,O2)</f>
        <v>6</v>
      </c>
      <c r="P3" s="8">
        <f>M3*3+N3</f>
        <v>10</v>
      </c>
      <c r="Q3" s="11">
        <f>M3/L3</f>
        <v>0.16666666666666666</v>
      </c>
      <c r="R3" s="22">
        <f>P3/L3</f>
        <v>0.83333333333333337</v>
      </c>
    </row>
    <row r="4" spans="1:18">
      <c r="A4" s="21">
        <v>44261</v>
      </c>
      <c r="B4" s="20">
        <v>2</v>
      </c>
      <c r="C4" s="20" t="s">
        <v>265</v>
      </c>
      <c r="D4" s="20" t="s">
        <v>45</v>
      </c>
      <c r="E4" s="20">
        <v>2</v>
      </c>
      <c r="F4" s="20">
        <v>1</v>
      </c>
      <c r="G4" s="20" t="s">
        <v>252</v>
      </c>
      <c r="H4" s="20" t="s">
        <v>31</v>
      </c>
      <c r="K4" s="2" t="s">
        <v>252</v>
      </c>
      <c r="L4" s="2">
        <f>SUM(M4:O4)</f>
        <v>16</v>
      </c>
      <c r="M4" s="5">
        <f>COUNTIFS(G:G,K4,H:H,M2)</f>
        <v>4</v>
      </c>
      <c r="N4" s="6">
        <f>COUNTIFS(G:G,K4,H:H,N2)</f>
        <v>4</v>
      </c>
      <c r="O4" s="7">
        <f>COUNTIFS(G:G,K4,H:H,O2)</f>
        <v>8</v>
      </c>
      <c r="P4" s="8">
        <f>M4*3+N4</f>
        <v>16</v>
      </c>
      <c r="Q4" s="10">
        <f>M4/L4</f>
        <v>0.25</v>
      </c>
      <c r="R4" s="22">
        <f>P4/L4</f>
        <v>1</v>
      </c>
    </row>
    <row r="5" spans="1:18">
      <c r="A5" s="21">
        <v>44264</v>
      </c>
      <c r="B5" s="20">
        <v>3</v>
      </c>
      <c r="C5" s="20" t="s">
        <v>55</v>
      </c>
      <c r="D5" s="20" t="s">
        <v>49</v>
      </c>
      <c r="E5" s="20">
        <v>1</v>
      </c>
      <c r="F5" s="20">
        <v>3</v>
      </c>
      <c r="G5" s="20" t="s">
        <v>252</v>
      </c>
      <c r="H5" s="20" t="s">
        <v>33</v>
      </c>
      <c r="K5" s="2" t="s">
        <v>256</v>
      </c>
      <c r="L5" s="2">
        <f>SUM(M5:O5)</f>
        <v>6</v>
      </c>
      <c r="M5" s="5">
        <f>COUNTIFS(G:G,K5,H:H,M2)</f>
        <v>3</v>
      </c>
      <c r="N5" s="6">
        <f>COUNTIFS(G:G,K5,H:H,N2)</f>
        <v>2</v>
      </c>
      <c r="O5" s="7">
        <f>COUNTIFS(G:G,K5,H:H,O2)</f>
        <v>1</v>
      </c>
      <c r="P5" s="8">
        <f>M5*3+N5</f>
        <v>11</v>
      </c>
      <c r="Q5" s="10">
        <f>M5/L5</f>
        <v>0.5</v>
      </c>
      <c r="R5" s="22">
        <f>P5/L5</f>
        <v>1.8333333333333333</v>
      </c>
    </row>
    <row r="6" spans="1:18">
      <c r="A6" s="21">
        <v>44268</v>
      </c>
      <c r="B6" s="20">
        <v>4</v>
      </c>
      <c r="C6" s="20" t="s">
        <v>44</v>
      </c>
      <c r="D6" s="20" t="s">
        <v>45</v>
      </c>
      <c r="E6" s="20">
        <v>0</v>
      </c>
      <c r="F6" s="20">
        <v>1</v>
      </c>
      <c r="G6" s="20" t="s">
        <v>252</v>
      </c>
      <c r="H6" s="20" t="s">
        <v>33</v>
      </c>
      <c r="K6" s="2" t="s">
        <v>304</v>
      </c>
      <c r="L6" s="2">
        <f>SUM(M6:O6)</f>
        <v>3</v>
      </c>
      <c r="M6" s="12">
        <f>COUNTIFS(G:G,K6,H:H,M2)</f>
        <v>3</v>
      </c>
      <c r="N6" s="15">
        <f>COUNTIFS(G:G,K6,H:H,N2)</f>
        <v>0</v>
      </c>
      <c r="O6" s="16">
        <f>COUNTIFS(G:G,K6,H:H,O2)</f>
        <v>0</v>
      </c>
      <c r="P6" s="8">
        <f>M6*3+N6</f>
        <v>9</v>
      </c>
      <c r="Q6" s="9">
        <f>M6/L6</f>
        <v>1</v>
      </c>
      <c r="R6" s="22">
        <f>P6/L6</f>
        <v>3</v>
      </c>
    </row>
    <row r="7" spans="1:18">
      <c r="A7" s="21">
        <v>44272</v>
      </c>
      <c r="B7" s="20">
        <v>5</v>
      </c>
      <c r="C7" s="20" t="s">
        <v>246</v>
      </c>
      <c r="D7" s="20" t="s">
        <v>45</v>
      </c>
      <c r="E7" s="20">
        <v>4</v>
      </c>
      <c r="F7" s="20">
        <v>1</v>
      </c>
      <c r="G7" s="20" t="s">
        <v>256</v>
      </c>
      <c r="H7" s="20" t="s">
        <v>31</v>
      </c>
      <c r="K7" s="20" t="s">
        <v>274</v>
      </c>
      <c r="L7" s="2">
        <v>1</v>
      </c>
      <c r="M7" s="12">
        <f>COUNTIFS(G:G,K7,H:H,M3)</f>
        <v>0</v>
      </c>
      <c r="N7" s="15">
        <v>1</v>
      </c>
      <c r="O7" s="16">
        <f>COUNTIFS(G:G,K7,H:H,O3)</f>
        <v>0</v>
      </c>
      <c r="P7" s="8">
        <f>M7*3+N7</f>
        <v>1</v>
      </c>
      <c r="Q7" s="9">
        <f>M7/L7</f>
        <v>0</v>
      </c>
      <c r="R7" s="22">
        <f>P7/L7</f>
        <v>1</v>
      </c>
    </row>
    <row r="8" spans="1:18">
      <c r="A8" s="21">
        <v>44276</v>
      </c>
      <c r="B8" s="20">
        <v>6</v>
      </c>
      <c r="C8" s="20" t="s">
        <v>71</v>
      </c>
      <c r="D8" s="20" t="s">
        <v>49</v>
      </c>
      <c r="E8" s="20">
        <v>0</v>
      </c>
      <c r="F8" s="20">
        <v>2</v>
      </c>
      <c r="G8" s="20" t="s">
        <v>256</v>
      </c>
      <c r="H8" s="20" t="s">
        <v>33</v>
      </c>
      <c r="K8" s="1"/>
      <c r="L8" s="1"/>
      <c r="M8" s="1"/>
      <c r="N8" s="1"/>
      <c r="O8" s="1"/>
      <c r="P8" s="1"/>
      <c r="R8" s="1"/>
    </row>
    <row r="9" spans="1:18">
      <c r="A9" s="21">
        <v>44290</v>
      </c>
      <c r="B9" s="20">
        <v>7</v>
      </c>
      <c r="C9" s="20" t="s">
        <v>48</v>
      </c>
      <c r="D9" s="20" t="s">
        <v>49</v>
      </c>
      <c r="E9" s="20">
        <v>1</v>
      </c>
      <c r="F9" s="20">
        <v>2</v>
      </c>
      <c r="G9" s="20" t="s">
        <v>250</v>
      </c>
      <c r="H9" s="20" t="s">
        <v>33</v>
      </c>
      <c r="J9" s="4" t="s">
        <v>7</v>
      </c>
      <c r="K9" s="4" t="s">
        <v>11</v>
      </c>
      <c r="L9" s="4" t="s">
        <v>30</v>
      </c>
      <c r="M9" s="4" t="s">
        <v>31</v>
      </c>
      <c r="N9" s="4" t="s">
        <v>32</v>
      </c>
      <c r="O9" s="4" t="s">
        <v>33</v>
      </c>
      <c r="P9" s="4" t="s">
        <v>34</v>
      </c>
      <c r="Q9" s="4" t="s">
        <v>35</v>
      </c>
      <c r="R9" s="4" t="s">
        <v>138</v>
      </c>
    </row>
    <row r="10" spans="1:18">
      <c r="A10" s="21">
        <v>44293</v>
      </c>
      <c r="B10" s="20">
        <v>8</v>
      </c>
      <c r="C10" s="20" t="s">
        <v>142</v>
      </c>
      <c r="D10" s="20" t="s">
        <v>45</v>
      </c>
      <c r="E10" s="20">
        <v>0</v>
      </c>
      <c r="F10" s="20">
        <v>0</v>
      </c>
      <c r="G10" s="20" t="s">
        <v>250</v>
      </c>
      <c r="H10" s="20" t="s">
        <v>32</v>
      </c>
      <c r="J10" s="2" t="s">
        <v>45</v>
      </c>
      <c r="K10" s="2" t="s">
        <v>250</v>
      </c>
      <c r="L10" s="2">
        <f>SUM(M10:O10)</f>
        <v>6</v>
      </c>
      <c r="M10" s="5">
        <f>COUNTIFS(D:D,J10,G:G,K10,H:H,M2)</f>
        <v>2</v>
      </c>
      <c r="N10" s="5">
        <f>COUNTIFS(D:D,J10,G:G,K10,H:H,N2)</f>
        <v>2</v>
      </c>
      <c r="O10" s="5">
        <f>COUNTIFS(D:D,J10,G:G,K10,H:H,O2)</f>
        <v>2</v>
      </c>
      <c r="P10" s="8">
        <f>M10*3+N10</f>
        <v>8</v>
      </c>
      <c r="Q10" s="9">
        <f>M10/L10</f>
        <v>0.33333333333333331</v>
      </c>
      <c r="R10" s="22">
        <f>P10/L10</f>
        <v>1.3333333333333333</v>
      </c>
    </row>
    <row r="11" spans="1:18">
      <c r="A11" s="21">
        <v>44297</v>
      </c>
      <c r="B11" s="20">
        <v>9</v>
      </c>
      <c r="C11" s="20" t="s">
        <v>67</v>
      </c>
      <c r="D11" s="20" t="s">
        <v>49</v>
      </c>
      <c r="E11" s="20">
        <v>0</v>
      </c>
      <c r="F11" s="20">
        <v>5</v>
      </c>
      <c r="G11" s="20" t="s">
        <v>252</v>
      </c>
      <c r="H11" s="20" t="s">
        <v>33</v>
      </c>
      <c r="J11" s="2" t="s">
        <v>45</v>
      </c>
      <c r="K11" s="2" t="s">
        <v>252</v>
      </c>
      <c r="L11" s="2">
        <f>SUM(M11:O11)</f>
        <v>9</v>
      </c>
      <c r="M11" s="5">
        <f>COUNTIFS(D:D,J11,G:G,K11,H:H,M2)</f>
        <v>2</v>
      </c>
      <c r="N11" s="5">
        <f>COUNTIFS(D:D,J11,G:G,K11,H:H,N2)</f>
        <v>3</v>
      </c>
      <c r="O11" s="5">
        <f>COUNTIFS(D:D,J11,G:G,K11,H:H,O2)</f>
        <v>4</v>
      </c>
      <c r="P11" s="8">
        <f>M11*3+N11</f>
        <v>9</v>
      </c>
      <c r="Q11" s="9">
        <f>M11/L11</f>
        <v>0.22222222222222221</v>
      </c>
      <c r="R11" s="22">
        <f>P11/L11</f>
        <v>1</v>
      </c>
    </row>
    <row r="12" spans="1:18">
      <c r="A12" s="21">
        <v>44303</v>
      </c>
      <c r="B12" s="20">
        <v>10</v>
      </c>
      <c r="C12" s="20" t="s">
        <v>77</v>
      </c>
      <c r="D12" s="20" t="s">
        <v>45</v>
      </c>
      <c r="E12" s="20">
        <v>0</v>
      </c>
      <c r="F12" s="20">
        <v>3</v>
      </c>
      <c r="G12" s="20" t="s">
        <v>252</v>
      </c>
      <c r="H12" s="20" t="s">
        <v>33</v>
      </c>
      <c r="J12" s="2" t="s">
        <v>45</v>
      </c>
      <c r="K12" s="2" t="s">
        <v>256</v>
      </c>
      <c r="L12" s="2">
        <f>SUM(M12:O12)</f>
        <v>3</v>
      </c>
      <c r="M12" s="5">
        <f>COUNTIFS(D:D,J12,G:G,K12,H:H,M2)</f>
        <v>2</v>
      </c>
      <c r="N12" s="5">
        <f>COUNTIFS(D:D,J12,G:G,K12,H:H,N2)</f>
        <v>1</v>
      </c>
      <c r="O12" s="5">
        <f>COUNTIFS(D:D,J12,G:G,K12,H:H,O2)</f>
        <v>0</v>
      </c>
      <c r="P12" s="8">
        <f>M12*3+N12</f>
        <v>7</v>
      </c>
      <c r="Q12" s="9">
        <f>M12/L12</f>
        <v>0.66666666666666663</v>
      </c>
      <c r="R12" s="22">
        <f>P12/L12</f>
        <v>2.3333333333333335</v>
      </c>
    </row>
    <row r="13" spans="1:18">
      <c r="A13" s="21">
        <v>44307</v>
      </c>
      <c r="B13" s="20">
        <v>11</v>
      </c>
      <c r="C13" s="20" t="s">
        <v>145</v>
      </c>
      <c r="D13" s="20" t="s">
        <v>49</v>
      </c>
      <c r="E13" s="20">
        <v>3</v>
      </c>
      <c r="F13" s="20">
        <v>1</v>
      </c>
      <c r="G13" s="20" t="s">
        <v>256</v>
      </c>
      <c r="H13" s="20" t="s">
        <v>31</v>
      </c>
      <c r="J13" s="2" t="s">
        <v>45</v>
      </c>
      <c r="K13" s="2" t="s">
        <v>304</v>
      </c>
      <c r="L13" s="2">
        <f>SUM(M13:O13)</f>
        <v>1</v>
      </c>
      <c r="M13" s="5">
        <f>COUNTIFS(D:D,J13,G:G,K13,H:H,M2)</f>
        <v>1</v>
      </c>
      <c r="N13" s="5">
        <f>COUNTIFS(D:D,J13,G:G,K13,H:H,N2)</f>
        <v>0</v>
      </c>
      <c r="O13" s="5">
        <f>COUNTIFS(D:D,J13,G:G,K13,H:H,O2)</f>
        <v>0</v>
      </c>
      <c r="P13" s="8">
        <f>M13*3+N13</f>
        <v>3</v>
      </c>
      <c r="Q13" s="9">
        <f>M13/L13</f>
        <v>1</v>
      </c>
      <c r="R13" s="22">
        <f>P13/L13</f>
        <v>3</v>
      </c>
    </row>
    <row r="14" spans="1:18">
      <c r="A14" s="21">
        <v>44311</v>
      </c>
      <c r="B14" s="20">
        <v>12</v>
      </c>
      <c r="C14" s="20" t="s">
        <v>55</v>
      </c>
      <c r="D14" s="20" t="s">
        <v>45</v>
      </c>
      <c r="E14" s="20">
        <v>0</v>
      </c>
      <c r="F14" s="20">
        <v>0</v>
      </c>
      <c r="G14" s="20" t="s">
        <v>252</v>
      </c>
      <c r="H14" s="20" t="s">
        <v>32</v>
      </c>
      <c r="J14" s="2" t="s">
        <v>45</v>
      </c>
      <c r="K14" s="20" t="s">
        <v>274</v>
      </c>
      <c r="L14" s="2">
        <f>SUM(M14:O14)</f>
        <v>0</v>
      </c>
      <c r="M14" s="5">
        <f>COUNTIFS(D:D,J14,G:G,K14,H:H,M2)</f>
        <v>0</v>
      </c>
      <c r="N14" s="5">
        <f>COUNTIFS(D:D,J14,G:G,K14,H:H,N2)</f>
        <v>0</v>
      </c>
      <c r="O14" s="5">
        <f>COUNTIFS(D:D,J14,G:G,K14,H:H,O2)</f>
        <v>0</v>
      </c>
      <c r="P14" s="8">
        <f>M14*3+N14</f>
        <v>0</v>
      </c>
      <c r="Q14" s="9" t="s">
        <v>337</v>
      </c>
      <c r="R14" s="9" t="s">
        <v>337</v>
      </c>
    </row>
    <row r="15" spans="1:18">
      <c r="A15" s="21">
        <v>44318</v>
      </c>
      <c r="B15" s="20">
        <v>13</v>
      </c>
      <c r="C15" s="20" t="s">
        <v>71</v>
      </c>
      <c r="D15" s="20" t="s">
        <v>45</v>
      </c>
      <c r="E15" s="20">
        <v>1</v>
      </c>
      <c r="F15" s="20">
        <v>0</v>
      </c>
      <c r="G15" s="20" t="s">
        <v>256</v>
      </c>
      <c r="H15" s="20" t="s">
        <v>31</v>
      </c>
      <c r="R15" s="1"/>
    </row>
    <row r="16" spans="1:18">
      <c r="A16" s="21">
        <v>44324</v>
      </c>
      <c r="B16" s="20">
        <v>14</v>
      </c>
      <c r="C16" s="20" t="s">
        <v>265</v>
      </c>
      <c r="D16" s="20" t="s">
        <v>49</v>
      </c>
      <c r="E16" s="20">
        <v>0</v>
      </c>
      <c r="F16" s="20">
        <v>3</v>
      </c>
      <c r="G16" s="20" t="s">
        <v>252</v>
      </c>
      <c r="H16" s="20" t="s">
        <v>33</v>
      </c>
      <c r="J16" s="4" t="s">
        <v>7</v>
      </c>
      <c r="K16" s="4" t="s">
        <v>11</v>
      </c>
      <c r="L16" s="4" t="s">
        <v>30</v>
      </c>
      <c r="M16" s="4" t="s">
        <v>31</v>
      </c>
      <c r="N16" s="4" t="s">
        <v>32</v>
      </c>
      <c r="O16" s="4" t="s">
        <v>33</v>
      </c>
      <c r="P16" s="4" t="s">
        <v>34</v>
      </c>
      <c r="Q16" s="4" t="s">
        <v>35</v>
      </c>
      <c r="R16" s="4" t="s">
        <v>138</v>
      </c>
    </row>
    <row r="17" spans="1:20">
      <c r="A17" s="21">
        <v>44327</v>
      </c>
      <c r="B17" s="20">
        <v>15</v>
      </c>
      <c r="C17" s="20" t="s">
        <v>57</v>
      </c>
      <c r="D17" s="20" t="s">
        <v>45</v>
      </c>
      <c r="E17" s="20">
        <v>1</v>
      </c>
      <c r="F17" s="20">
        <v>1</v>
      </c>
      <c r="G17" s="20" t="s">
        <v>250</v>
      </c>
      <c r="H17" s="20" t="s">
        <v>32</v>
      </c>
      <c r="J17" s="2" t="s">
        <v>49</v>
      </c>
      <c r="K17" s="2" t="s">
        <v>250</v>
      </c>
      <c r="L17" s="2">
        <f>SUM(M17:O17)</f>
        <v>6</v>
      </c>
      <c r="M17" s="5">
        <f>COUNTIFS(D:D,J17,G:G,K17,H:H,M23)</f>
        <v>0</v>
      </c>
      <c r="N17" s="5">
        <f>COUNTIFS(D:D,J17,G:G,K17,H:H,N23)</f>
        <v>2</v>
      </c>
      <c r="O17" s="5">
        <f>COUNTIFS(D:D,J17,G:G,K17,H:H,O23)</f>
        <v>4</v>
      </c>
      <c r="P17" s="8">
        <f>M17*3+N17</f>
        <v>2</v>
      </c>
      <c r="Q17" s="9">
        <f>M17/L17</f>
        <v>0</v>
      </c>
      <c r="R17" s="22">
        <f>P17/L17</f>
        <v>0.33333333333333331</v>
      </c>
    </row>
    <row r="18" spans="1:20">
      <c r="A18" s="21">
        <v>44331</v>
      </c>
      <c r="B18" s="20">
        <v>16</v>
      </c>
      <c r="C18" s="20" t="s">
        <v>48</v>
      </c>
      <c r="D18" s="20" t="s">
        <v>45</v>
      </c>
      <c r="E18" s="20">
        <v>2</v>
      </c>
      <c r="F18" s="20">
        <v>1</v>
      </c>
      <c r="G18" s="20" t="s">
        <v>250</v>
      </c>
      <c r="H18" s="20" t="s">
        <v>31</v>
      </c>
      <c r="J18" s="2" t="s">
        <v>49</v>
      </c>
      <c r="K18" s="2" t="s">
        <v>252</v>
      </c>
      <c r="L18" s="2">
        <f>SUM(M18:O18)</f>
        <v>7</v>
      </c>
      <c r="M18" s="5">
        <f>COUNTIFS(D:D,J18,G:G,K18,H:H,M23)</f>
        <v>2</v>
      </c>
      <c r="N18" s="5">
        <f>COUNTIFS(D:D,J18,G:G,K18,H:H,N23)</f>
        <v>1</v>
      </c>
      <c r="O18" s="5">
        <f>COUNTIFS(D:D,J18,G:G,K18,H:H,O23)</f>
        <v>4</v>
      </c>
      <c r="P18" s="8">
        <f>M18*3+N18</f>
        <v>7</v>
      </c>
      <c r="Q18" s="9">
        <f>M18/L18</f>
        <v>0.2857142857142857</v>
      </c>
      <c r="R18" s="22">
        <f>P18/L18</f>
        <v>1</v>
      </c>
    </row>
    <row r="19" spans="1:20">
      <c r="A19" s="21">
        <v>44337</v>
      </c>
      <c r="B19" s="20">
        <v>17</v>
      </c>
      <c r="C19" s="20" t="s">
        <v>246</v>
      </c>
      <c r="D19" s="20" t="s">
        <v>49</v>
      </c>
      <c r="E19" s="20">
        <v>2</v>
      </c>
      <c r="F19" s="20">
        <v>2</v>
      </c>
      <c r="G19" s="20" t="s">
        <v>256</v>
      </c>
      <c r="H19" s="20" t="s">
        <v>32</v>
      </c>
      <c r="J19" s="2" t="s">
        <v>49</v>
      </c>
      <c r="K19" s="2" t="s">
        <v>256</v>
      </c>
      <c r="L19" s="2">
        <f>SUM(M19:O19)</f>
        <v>3</v>
      </c>
      <c r="M19" s="5">
        <f>COUNTIFS(D:D,J19,G:G,K19,H:H,M23)</f>
        <v>1</v>
      </c>
      <c r="N19" s="5">
        <f>COUNTIFS(D:D,J19,G:G,K19,H:H,N23)</f>
        <v>1</v>
      </c>
      <c r="O19" s="5">
        <f>COUNTIFS(D:D,J19,G:G,K19,H:H,O23)</f>
        <v>1</v>
      </c>
      <c r="P19" s="8">
        <f>M19*3+N19</f>
        <v>4</v>
      </c>
      <c r="Q19" s="9">
        <f>M19/L19</f>
        <v>0.33333333333333331</v>
      </c>
      <c r="R19" s="22">
        <f>P19/L19</f>
        <v>1.3333333333333333</v>
      </c>
    </row>
    <row r="20" spans="1:20">
      <c r="A20" s="21">
        <v>44345</v>
      </c>
      <c r="B20" s="20">
        <v>18</v>
      </c>
      <c r="C20" s="20" t="s">
        <v>67</v>
      </c>
      <c r="D20" s="20" t="s">
        <v>45</v>
      </c>
      <c r="E20" s="20">
        <v>1</v>
      </c>
      <c r="F20" s="20">
        <v>1</v>
      </c>
      <c r="G20" s="20" t="s">
        <v>252</v>
      </c>
      <c r="H20" s="20" t="s">
        <v>32</v>
      </c>
      <c r="J20" s="2" t="s">
        <v>49</v>
      </c>
      <c r="K20" s="2" t="s">
        <v>304</v>
      </c>
      <c r="L20" s="2">
        <f>SUM(M20:O20)</f>
        <v>2</v>
      </c>
      <c r="M20" s="5">
        <f>COUNTIFS(D:D,J20,G:G,K20,H:H,M23)</f>
        <v>2</v>
      </c>
      <c r="N20" s="5">
        <f>COUNTIFS(D:D,J20,G:G,K20,H:H,N23)</f>
        <v>0</v>
      </c>
      <c r="O20" s="5">
        <f>COUNTIFS(D:D,J20,G:G,K20,H:H,N23)</f>
        <v>0</v>
      </c>
      <c r="P20" s="8">
        <f>M20*3+N20</f>
        <v>6</v>
      </c>
      <c r="Q20" s="9">
        <f>M20/L20</f>
        <v>1</v>
      </c>
      <c r="R20" s="22">
        <f>P20/L20</f>
        <v>3</v>
      </c>
    </row>
    <row r="21" spans="1:20">
      <c r="A21" s="21">
        <v>44391</v>
      </c>
      <c r="B21" s="20">
        <v>19</v>
      </c>
      <c r="C21" s="20" t="s">
        <v>44</v>
      </c>
      <c r="D21" s="20" t="s">
        <v>49</v>
      </c>
      <c r="E21" s="20">
        <v>1</v>
      </c>
      <c r="F21" s="20">
        <v>0</v>
      </c>
      <c r="G21" s="20" t="s">
        <v>252</v>
      </c>
      <c r="H21" s="20" t="s">
        <v>31</v>
      </c>
      <c r="J21" s="2" t="s">
        <v>49</v>
      </c>
      <c r="K21" s="20" t="s">
        <v>274</v>
      </c>
      <c r="L21" s="2">
        <f>SUM(M21:O21)</f>
        <v>1</v>
      </c>
      <c r="M21" s="5">
        <f>COUNTIFS(D:D,J21,G:G,K21,H:H,M2)</f>
        <v>0</v>
      </c>
      <c r="N21" s="5">
        <f>COUNTIFS(D:D,J21,G:G,K21,H:H,N2)</f>
        <v>1</v>
      </c>
      <c r="O21" s="5">
        <f>COUNTIFS(D:D,J21,G:G,K21,H:H,O2)</f>
        <v>0</v>
      </c>
      <c r="P21" s="8">
        <f>M21*3+N21</f>
        <v>1</v>
      </c>
      <c r="Q21" s="9">
        <f>M21/L21</f>
        <v>0</v>
      </c>
      <c r="R21" s="22">
        <f>P21/L21</f>
        <v>1</v>
      </c>
    </row>
    <row r="22" spans="1:20">
      <c r="A22" s="21">
        <v>44400</v>
      </c>
      <c r="B22" s="20">
        <v>20</v>
      </c>
      <c r="C22" s="20" t="s">
        <v>142</v>
      </c>
      <c r="D22" s="20" t="s">
        <v>49</v>
      </c>
      <c r="E22" s="20">
        <v>2</v>
      </c>
      <c r="F22" s="20">
        <v>1</v>
      </c>
      <c r="G22" s="20" t="s">
        <v>252</v>
      </c>
      <c r="H22" s="20" t="s">
        <v>31</v>
      </c>
    </row>
    <row r="23" spans="1:20">
      <c r="A23" s="21">
        <v>44408</v>
      </c>
      <c r="B23" s="20">
        <v>21</v>
      </c>
      <c r="C23" s="20" t="s">
        <v>77</v>
      </c>
      <c r="D23" s="20" t="s">
        <v>49</v>
      </c>
      <c r="E23" s="20">
        <v>4</v>
      </c>
      <c r="F23" s="20">
        <v>1</v>
      </c>
      <c r="G23" s="20" t="s">
        <v>304</v>
      </c>
      <c r="H23" s="20" t="s">
        <v>31</v>
      </c>
      <c r="K23" s="4" t="s">
        <v>7</v>
      </c>
      <c r="L23" s="4" t="s">
        <v>30</v>
      </c>
      <c r="M23" s="4" t="s">
        <v>31</v>
      </c>
      <c r="N23" s="4" t="s">
        <v>32</v>
      </c>
      <c r="O23" s="4" t="s">
        <v>33</v>
      </c>
      <c r="P23" s="4" t="s">
        <v>34</v>
      </c>
      <c r="Q23" s="4" t="s">
        <v>35</v>
      </c>
      <c r="R23" s="4" t="s">
        <v>8</v>
      </c>
      <c r="S23" s="4" t="s">
        <v>9</v>
      </c>
      <c r="T23" s="4" t="s">
        <v>36</v>
      </c>
    </row>
    <row r="24" spans="1:20">
      <c r="A24" s="21">
        <v>44416</v>
      </c>
      <c r="B24" s="20">
        <v>22</v>
      </c>
      <c r="C24" s="20" t="s">
        <v>246</v>
      </c>
      <c r="D24" s="20" t="s">
        <v>45</v>
      </c>
      <c r="E24" s="20">
        <v>0</v>
      </c>
      <c r="F24" s="20">
        <v>0</v>
      </c>
      <c r="G24" s="20" t="s">
        <v>252</v>
      </c>
      <c r="H24" s="20" t="s">
        <v>32</v>
      </c>
      <c r="K24" s="2" t="s">
        <v>45</v>
      </c>
      <c r="L24" s="2">
        <f>SUM(M24:O24)</f>
        <v>19</v>
      </c>
      <c r="M24" s="5">
        <f>COUNTIFS(D:D,K24,H:H,M23)</f>
        <v>7</v>
      </c>
      <c r="N24" s="6">
        <f>COUNTIFS(D:D,K24,H:H,N23)</f>
        <v>6</v>
      </c>
      <c r="O24" s="7">
        <f>COUNTIFS(D:D,K24,H:H,O23)</f>
        <v>6</v>
      </c>
      <c r="P24" s="8">
        <f>M24*3+N24</f>
        <v>27</v>
      </c>
      <c r="Q24" s="9">
        <f>M24/L24</f>
        <v>0.36842105263157893</v>
      </c>
      <c r="R24" s="2">
        <f>SUMIF(D:D,K24,E:E)</f>
        <v>17</v>
      </c>
      <c r="S24" s="2">
        <f>SUMIF(D:D,K24,F:F)</f>
        <v>14</v>
      </c>
      <c r="T24" s="2">
        <f>R24-S24</f>
        <v>3</v>
      </c>
    </row>
    <row r="25" spans="1:20">
      <c r="A25" s="21">
        <v>44423</v>
      </c>
      <c r="B25" s="20">
        <v>23</v>
      </c>
      <c r="C25" s="20" t="s">
        <v>48</v>
      </c>
      <c r="D25" s="20" t="s">
        <v>49</v>
      </c>
      <c r="E25" s="20">
        <v>0</v>
      </c>
      <c r="F25" s="20">
        <v>1</v>
      </c>
      <c r="G25" s="20" t="s">
        <v>250</v>
      </c>
      <c r="H25" s="20" t="s">
        <v>33</v>
      </c>
      <c r="K25" s="2" t="s">
        <v>49</v>
      </c>
      <c r="L25" s="2">
        <f>SUM(M25:O25)</f>
        <v>19</v>
      </c>
      <c r="M25" s="5">
        <f>COUNTIFS(D:D,K25,H:H,M23)</f>
        <v>5</v>
      </c>
      <c r="N25" s="6">
        <f>COUNTIFS(D:D,K25,H:H,N23)</f>
        <v>5</v>
      </c>
      <c r="O25" s="7">
        <f>COUNTIFS(D:D,K25,H:H,O23)</f>
        <v>9</v>
      </c>
      <c r="P25" s="8">
        <f>M25*3+N25</f>
        <v>20</v>
      </c>
      <c r="Q25" s="17">
        <f>M25/L25</f>
        <v>0.26315789473684209</v>
      </c>
      <c r="R25" s="2">
        <f>SUMIF(D:D,K25,E:E)</f>
        <v>21</v>
      </c>
      <c r="S25" s="2">
        <f>SUMIF(D:D,K25,F:F)</f>
        <v>31</v>
      </c>
      <c r="T25" s="2">
        <f>R25-S25</f>
        <v>-10</v>
      </c>
    </row>
    <row r="26" spans="1:20">
      <c r="A26" s="21">
        <v>44426</v>
      </c>
      <c r="B26" s="20">
        <v>24</v>
      </c>
      <c r="C26" s="20" t="s">
        <v>145</v>
      </c>
      <c r="D26" s="20" t="s">
        <v>45</v>
      </c>
      <c r="E26" s="20">
        <v>1</v>
      </c>
      <c r="F26" s="20">
        <v>0</v>
      </c>
      <c r="G26" s="20" t="s">
        <v>252</v>
      </c>
      <c r="H26" s="20" t="s">
        <v>31</v>
      </c>
      <c r="K26" s="13" t="s">
        <v>60</v>
      </c>
      <c r="L26" s="13">
        <f>SUM(L24:L25)</f>
        <v>38</v>
      </c>
      <c r="M26" s="13">
        <f>SUM(M24:M25)</f>
        <v>12</v>
      </c>
      <c r="N26" s="13">
        <f>SUM(N24:N25)</f>
        <v>11</v>
      </c>
      <c r="O26" s="13">
        <f>SUM(O24:O25)</f>
        <v>15</v>
      </c>
      <c r="P26" s="13">
        <f>SUM(P24:P25)</f>
        <v>47</v>
      </c>
      <c r="Q26" s="14">
        <f>M26/L26</f>
        <v>0.31578947368421051</v>
      </c>
      <c r="R26" s="13">
        <f>SUM(R24:R25)</f>
        <v>38</v>
      </c>
      <c r="S26" s="13">
        <f>SUM(S24:S25)</f>
        <v>45</v>
      </c>
      <c r="T26" s="13">
        <f>SUM(T24:T25)</f>
        <v>-7</v>
      </c>
    </row>
    <row r="27" spans="1:20">
      <c r="A27" s="21">
        <v>44433</v>
      </c>
      <c r="B27" s="20">
        <v>25</v>
      </c>
      <c r="C27" s="20" t="s">
        <v>265</v>
      </c>
      <c r="D27" s="20" t="s">
        <v>45</v>
      </c>
      <c r="E27" s="20">
        <v>2</v>
      </c>
      <c r="F27" s="20">
        <v>0</v>
      </c>
      <c r="G27" s="20" t="s">
        <v>304</v>
      </c>
      <c r="H27" s="20" t="s">
        <v>31</v>
      </c>
    </row>
    <row r="28" spans="1:20">
      <c r="A28" s="21">
        <v>44437</v>
      </c>
      <c r="B28" s="20">
        <v>26</v>
      </c>
      <c r="C28" s="20" t="s">
        <v>55</v>
      </c>
      <c r="D28" s="20" t="s">
        <v>49</v>
      </c>
      <c r="E28" s="20">
        <v>2</v>
      </c>
      <c r="F28" s="20">
        <v>3</v>
      </c>
      <c r="G28" s="20" t="s">
        <v>252</v>
      </c>
      <c r="H28" s="20" t="s">
        <v>33</v>
      </c>
      <c r="K28" s="4" t="s">
        <v>66</v>
      </c>
      <c r="L28" s="4" t="s">
        <v>30</v>
      </c>
      <c r="M28" s="4" t="s">
        <v>31</v>
      </c>
      <c r="N28" s="4" t="s">
        <v>32</v>
      </c>
      <c r="O28" s="4" t="s">
        <v>33</v>
      </c>
      <c r="P28" s="4" t="s">
        <v>34</v>
      </c>
      <c r="Q28" s="4" t="s">
        <v>35</v>
      </c>
      <c r="R28" s="4" t="s">
        <v>8</v>
      </c>
      <c r="S28" s="4" t="s">
        <v>9</v>
      </c>
      <c r="T28" s="4" t="s">
        <v>36</v>
      </c>
    </row>
    <row r="29" spans="1:20">
      <c r="A29" s="21">
        <v>44450</v>
      </c>
      <c r="B29" s="20">
        <v>27</v>
      </c>
      <c r="C29" s="20" t="s">
        <v>77</v>
      </c>
      <c r="D29" s="20" t="s">
        <v>45</v>
      </c>
      <c r="E29" s="20">
        <v>1</v>
      </c>
      <c r="F29" s="20">
        <v>2</v>
      </c>
      <c r="G29" s="20" t="s">
        <v>250</v>
      </c>
      <c r="H29" s="20" t="s">
        <v>33</v>
      </c>
      <c r="K29" s="2" t="s">
        <v>67</v>
      </c>
      <c r="L29" s="2">
        <f t="shared" ref="L29:L39" si="0">SUM(M29:O29)</f>
        <v>3</v>
      </c>
      <c r="M29" s="5">
        <f t="shared" ref="M29:M39" si="1">COUNTIFS(C:C,K29,H:H,"승")</f>
        <v>0</v>
      </c>
      <c r="N29" s="6">
        <f t="shared" ref="N29:N39" si="2">COUNTIFS(C:C,K29,H:H,"무")</f>
        <v>1</v>
      </c>
      <c r="O29" s="7">
        <f t="shared" ref="O29:O39" si="3">COUNTIFS(C:C,K29,H:H,"패")</f>
        <v>2</v>
      </c>
      <c r="P29" s="8">
        <f t="shared" ref="P29:P39" si="4">M29*3+N29</f>
        <v>1</v>
      </c>
      <c r="Q29" s="9">
        <f t="shared" ref="Q29:Q39" si="5">M29/L29</f>
        <v>0</v>
      </c>
      <c r="R29" s="2">
        <f t="shared" ref="R29:R39" si="6">SUMIF(C:C,K29,E:E)</f>
        <v>1</v>
      </c>
      <c r="S29" s="2">
        <f t="shared" ref="S29:S39" si="7">SUMIF(C:C,K29,F:F)</f>
        <v>8</v>
      </c>
      <c r="T29" s="2">
        <f t="shared" ref="T29:T39" si="8">R29-S29</f>
        <v>-7</v>
      </c>
    </row>
    <row r="30" spans="1:20">
      <c r="A30" s="21">
        <v>44458</v>
      </c>
      <c r="B30" s="20">
        <v>28</v>
      </c>
      <c r="C30" s="20" t="s">
        <v>145</v>
      </c>
      <c r="D30" s="20" t="s">
        <v>45</v>
      </c>
      <c r="E30" s="20">
        <v>0</v>
      </c>
      <c r="F30" s="20">
        <v>1</v>
      </c>
      <c r="G30" s="20" t="s">
        <v>250</v>
      </c>
      <c r="H30" s="20" t="s">
        <v>33</v>
      </c>
      <c r="K30" s="2" t="s">
        <v>55</v>
      </c>
      <c r="L30" s="2">
        <f t="shared" si="0"/>
        <v>3</v>
      </c>
      <c r="M30" s="5">
        <f t="shared" si="1"/>
        <v>0</v>
      </c>
      <c r="N30" s="6">
        <f t="shared" si="2"/>
        <v>1</v>
      </c>
      <c r="O30" s="7">
        <f t="shared" si="3"/>
        <v>2</v>
      </c>
      <c r="P30" s="8">
        <f t="shared" si="4"/>
        <v>1</v>
      </c>
      <c r="Q30" s="17">
        <f t="shared" si="5"/>
        <v>0</v>
      </c>
      <c r="R30" s="2">
        <f t="shared" si="6"/>
        <v>3</v>
      </c>
      <c r="S30" s="2">
        <f t="shared" si="7"/>
        <v>6</v>
      </c>
      <c r="T30" s="2">
        <f t="shared" si="8"/>
        <v>-3</v>
      </c>
    </row>
    <row r="31" spans="1:20">
      <c r="A31" s="21">
        <v>44461</v>
      </c>
      <c r="B31" s="20">
        <v>29</v>
      </c>
      <c r="C31" s="20" t="s">
        <v>44</v>
      </c>
      <c r="D31" s="20" t="s">
        <v>49</v>
      </c>
      <c r="E31" s="20">
        <v>0</v>
      </c>
      <c r="F31" s="20">
        <v>0</v>
      </c>
      <c r="G31" s="20" t="s">
        <v>250</v>
      </c>
      <c r="H31" s="20" t="s">
        <v>32</v>
      </c>
      <c r="K31" s="2" t="s">
        <v>265</v>
      </c>
      <c r="L31" s="2">
        <f t="shared" si="0"/>
        <v>3</v>
      </c>
      <c r="M31" s="5">
        <f t="shared" si="1"/>
        <v>2</v>
      </c>
      <c r="N31" s="6">
        <f t="shared" si="2"/>
        <v>0</v>
      </c>
      <c r="O31" s="7">
        <f t="shared" si="3"/>
        <v>1</v>
      </c>
      <c r="P31" s="8">
        <f t="shared" si="4"/>
        <v>6</v>
      </c>
      <c r="Q31" s="17">
        <f t="shared" si="5"/>
        <v>0.66666666666666663</v>
      </c>
      <c r="R31" s="2">
        <f t="shared" si="6"/>
        <v>4</v>
      </c>
      <c r="S31" s="2">
        <f t="shared" si="7"/>
        <v>4</v>
      </c>
      <c r="T31" s="2">
        <f t="shared" si="8"/>
        <v>0</v>
      </c>
    </row>
    <row r="32" spans="1:20">
      <c r="A32" s="21">
        <v>44464</v>
      </c>
      <c r="B32" s="20">
        <v>30</v>
      </c>
      <c r="C32" s="20" t="s">
        <v>67</v>
      </c>
      <c r="D32" s="20" t="s">
        <v>49</v>
      </c>
      <c r="E32" s="20">
        <v>0</v>
      </c>
      <c r="F32" s="20">
        <v>2</v>
      </c>
      <c r="G32" s="20" t="s">
        <v>250</v>
      </c>
      <c r="H32" s="20" t="s">
        <v>33</v>
      </c>
      <c r="K32" s="2" t="s">
        <v>77</v>
      </c>
      <c r="L32" s="2">
        <f t="shared" si="0"/>
        <v>3</v>
      </c>
      <c r="M32" s="5">
        <f t="shared" si="1"/>
        <v>1</v>
      </c>
      <c r="N32" s="6">
        <f t="shared" si="2"/>
        <v>0</v>
      </c>
      <c r="O32" s="7">
        <f t="shared" si="3"/>
        <v>2</v>
      </c>
      <c r="P32" s="8">
        <f t="shared" si="4"/>
        <v>3</v>
      </c>
      <c r="Q32" s="17">
        <f t="shared" si="5"/>
        <v>0.33333333333333331</v>
      </c>
      <c r="R32" s="2">
        <f t="shared" si="6"/>
        <v>5</v>
      </c>
      <c r="S32" s="2">
        <f t="shared" si="7"/>
        <v>6</v>
      </c>
      <c r="T32" s="2">
        <f t="shared" si="8"/>
        <v>-1</v>
      </c>
    </row>
    <row r="33" spans="1:20">
      <c r="A33" s="21">
        <v>44471</v>
      </c>
      <c r="B33" s="20">
        <v>31</v>
      </c>
      <c r="C33" s="20" t="s">
        <v>142</v>
      </c>
      <c r="D33" s="20" t="s">
        <v>45</v>
      </c>
      <c r="E33" s="20">
        <v>0</v>
      </c>
      <c r="F33" s="20">
        <v>1</v>
      </c>
      <c r="G33" s="20" t="s">
        <v>252</v>
      </c>
      <c r="H33" s="20" t="s">
        <v>33</v>
      </c>
      <c r="K33" s="2" t="s">
        <v>246</v>
      </c>
      <c r="L33" s="2">
        <f t="shared" si="0"/>
        <v>3</v>
      </c>
      <c r="M33" s="5">
        <f t="shared" si="1"/>
        <v>1</v>
      </c>
      <c r="N33" s="6">
        <f t="shared" si="2"/>
        <v>2</v>
      </c>
      <c r="O33" s="7">
        <f t="shared" si="3"/>
        <v>0</v>
      </c>
      <c r="P33" s="8">
        <f t="shared" si="4"/>
        <v>5</v>
      </c>
      <c r="Q33" s="17">
        <f t="shared" si="5"/>
        <v>0.33333333333333331</v>
      </c>
      <c r="R33" s="2">
        <f t="shared" si="6"/>
        <v>6</v>
      </c>
      <c r="S33" s="2">
        <f t="shared" si="7"/>
        <v>3</v>
      </c>
      <c r="T33" s="2">
        <f t="shared" si="8"/>
        <v>3</v>
      </c>
    </row>
    <row r="34" spans="1:20">
      <c r="A34" s="21">
        <v>44475</v>
      </c>
      <c r="B34" s="20">
        <v>32</v>
      </c>
      <c r="C34" s="20" t="s">
        <v>71</v>
      </c>
      <c r="D34" s="20" t="s">
        <v>45</v>
      </c>
      <c r="E34" s="20">
        <v>0</v>
      </c>
      <c r="F34" s="20">
        <v>1</v>
      </c>
      <c r="G34" s="20" t="s">
        <v>252</v>
      </c>
      <c r="H34" s="20" t="s">
        <v>33</v>
      </c>
      <c r="K34" s="2" t="s">
        <v>142</v>
      </c>
      <c r="L34" s="2">
        <f t="shared" si="0"/>
        <v>3</v>
      </c>
      <c r="M34" s="5">
        <f t="shared" si="1"/>
        <v>1</v>
      </c>
      <c r="N34" s="6">
        <f t="shared" si="2"/>
        <v>1</v>
      </c>
      <c r="O34" s="7">
        <f t="shared" si="3"/>
        <v>1</v>
      </c>
      <c r="P34" s="8">
        <f t="shared" si="4"/>
        <v>4</v>
      </c>
      <c r="Q34" s="17">
        <f t="shared" si="5"/>
        <v>0.33333333333333331</v>
      </c>
      <c r="R34" s="2">
        <f t="shared" si="6"/>
        <v>2</v>
      </c>
      <c r="S34" s="2">
        <f t="shared" si="7"/>
        <v>2</v>
      </c>
      <c r="T34" s="2">
        <f t="shared" si="8"/>
        <v>0</v>
      </c>
    </row>
    <row r="35" spans="1:20">
      <c r="A35" s="21">
        <v>44493</v>
      </c>
      <c r="B35" s="20">
        <v>33</v>
      </c>
      <c r="C35" s="20" t="s">
        <v>57</v>
      </c>
      <c r="D35" s="20" t="s">
        <v>49</v>
      </c>
      <c r="E35" s="20">
        <v>1</v>
      </c>
      <c r="F35" s="20">
        <v>0</v>
      </c>
      <c r="G35" s="20" t="s">
        <v>304</v>
      </c>
      <c r="H35" s="20" t="s">
        <v>31</v>
      </c>
      <c r="K35" s="2" t="s">
        <v>57</v>
      </c>
      <c r="L35" s="2">
        <f t="shared" si="0"/>
        <v>4</v>
      </c>
      <c r="M35" s="5">
        <f t="shared" si="1"/>
        <v>1</v>
      </c>
      <c r="N35" s="6">
        <f t="shared" si="2"/>
        <v>2</v>
      </c>
      <c r="O35" s="7">
        <f t="shared" si="3"/>
        <v>1</v>
      </c>
      <c r="P35" s="8">
        <f t="shared" si="4"/>
        <v>5</v>
      </c>
      <c r="Q35" s="17">
        <f t="shared" si="5"/>
        <v>0.25</v>
      </c>
      <c r="R35" s="2">
        <f t="shared" si="6"/>
        <v>3</v>
      </c>
      <c r="S35" s="2">
        <f t="shared" si="7"/>
        <v>3</v>
      </c>
      <c r="T35" s="2">
        <f t="shared" si="8"/>
        <v>0</v>
      </c>
    </row>
    <row r="36" spans="1:20">
      <c r="A36" s="21">
        <v>44499</v>
      </c>
      <c r="B36" s="20">
        <v>34</v>
      </c>
      <c r="C36" s="20" t="s">
        <v>44</v>
      </c>
      <c r="D36" s="20" t="s">
        <v>45</v>
      </c>
      <c r="E36" s="20">
        <v>2</v>
      </c>
      <c r="F36" s="20">
        <v>0</v>
      </c>
      <c r="G36" s="20" t="s">
        <v>250</v>
      </c>
      <c r="H36" s="20" t="s">
        <v>31</v>
      </c>
      <c r="K36" s="2" t="s">
        <v>44</v>
      </c>
      <c r="L36" s="2">
        <f t="shared" si="0"/>
        <v>4</v>
      </c>
      <c r="M36" s="5">
        <f t="shared" si="1"/>
        <v>2</v>
      </c>
      <c r="N36" s="6">
        <f t="shared" si="2"/>
        <v>1</v>
      </c>
      <c r="O36" s="7">
        <f t="shared" si="3"/>
        <v>1</v>
      </c>
      <c r="P36" s="8">
        <f t="shared" si="4"/>
        <v>7</v>
      </c>
      <c r="Q36" s="17">
        <f t="shared" si="5"/>
        <v>0.5</v>
      </c>
      <c r="R36" s="2">
        <f t="shared" si="6"/>
        <v>3</v>
      </c>
      <c r="S36" s="2">
        <f t="shared" si="7"/>
        <v>1</v>
      </c>
      <c r="T36" s="2">
        <f t="shared" si="8"/>
        <v>2</v>
      </c>
    </row>
    <row r="37" spans="1:20">
      <c r="A37" s="21">
        <v>44503</v>
      </c>
      <c r="B37" s="20">
        <v>35</v>
      </c>
      <c r="C37" s="20" t="s">
        <v>145</v>
      </c>
      <c r="D37" s="20" t="s">
        <v>49</v>
      </c>
      <c r="E37" s="20">
        <v>1</v>
      </c>
      <c r="F37" s="20">
        <v>1</v>
      </c>
      <c r="G37" s="20" t="s">
        <v>252</v>
      </c>
      <c r="H37" s="20" t="s">
        <v>32</v>
      </c>
      <c r="I37" s="3"/>
      <c r="K37" s="2" t="s">
        <v>145</v>
      </c>
      <c r="L37" s="2">
        <f t="shared" si="0"/>
        <v>4</v>
      </c>
      <c r="M37" s="5">
        <f t="shared" si="1"/>
        <v>2</v>
      </c>
      <c r="N37" s="6">
        <f t="shared" si="2"/>
        <v>1</v>
      </c>
      <c r="O37" s="7">
        <f t="shared" si="3"/>
        <v>1</v>
      </c>
      <c r="P37" s="8">
        <f t="shared" si="4"/>
        <v>7</v>
      </c>
      <c r="Q37" s="17">
        <f t="shared" si="5"/>
        <v>0.5</v>
      </c>
      <c r="R37" s="2">
        <f t="shared" si="6"/>
        <v>5</v>
      </c>
      <c r="S37" s="2">
        <f t="shared" si="7"/>
        <v>3</v>
      </c>
      <c r="T37" s="2">
        <f t="shared" si="8"/>
        <v>2</v>
      </c>
    </row>
    <row r="38" spans="1:20">
      <c r="A38" s="21">
        <v>44507</v>
      </c>
      <c r="B38" s="20">
        <v>36</v>
      </c>
      <c r="C38" s="20" t="s">
        <v>71</v>
      </c>
      <c r="D38" s="20" t="s">
        <v>49</v>
      </c>
      <c r="E38" s="20">
        <v>1</v>
      </c>
      <c r="F38" s="20">
        <v>1</v>
      </c>
      <c r="G38" s="20" t="s">
        <v>250</v>
      </c>
      <c r="H38" s="20" t="s">
        <v>32</v>
      </c>
      <c r="K38" s="2" t="s">
        <v>71</v>
      </c>
      <c r="L38" s="2">
        <f t="shared" si="0"/>
        <v>4</v>
      </c>
      <c r="M38" s="5">
        <f t="shared" si="1"/>
        <v>1</v>
      </c>
      <c r="N38" s="6">
        <f t="shared" si="2"/>
        <v>1</v>
      </c>
      <c r="O38" s="7">
        <f t="shared" si="3"/>
        <v>2</v>
      </c>
      <c r="P38" s="8">
        <f t="shared" si="4"/>
        <v>4</v>
      </c>
      <c r="Q38" s="17">
        <f t="shared" si="5"/>
        <v>0.25</v>
      </c>
      <c r="R38" s="2">
        <f t="shared" si="6"/>
        <v>2</v>
      </c>
      <c r="S38" s="2">
        <f t="shared" si="7"/>
        <v>4</v>
      </c>
      <c r="T38" s="2">
        <f t="shared" si="8"/>
        <v>-2</v>
      </c>
    </row>
    <row r="39" spans="1:20">
      <c r="A39" s="21">
        <v>44528</v>
      </c>
      <c r="B39" s="20">
        <v>37</v>
      </c>
      <c r="C39" s="20" t="s">
        <v>57</v>
      </c>
      <c r="D39" s="20" t="s">
        <v>45</v>
      </c>
      <c r="E39" s="20">
        <v>0</v>
      </c>
      <c r="F39" s="20">
        <v>0</v>
      </c>
      <c r="G39" s="20" t="s">
        <v>256</v>
      </c>
      <c r="H39" s="20" t="s">
        <v>32</v>
      </c>
      <c r="K39" s="2" t="s">
        <v>48</v>
      </c>
      <c r="L39" s="2">
        <f t="shared" si="0"/>
        <v>4</v>
      </c>
      <c r="M39" s="5">
        <f t="shared" si="1"/>
        <v>1</v>
      </c>
      <c r="N39" s="6">
        <f t="shared" si="2"/>
        <v>1</v>
      </c>
      <c r="O39" s="7">
        <f t="shared" si="3"/>
        <v>2</v>
      </c>
      <c r="P39" s="8">
        <f t="shared" si="4"/>
        <v>4</v>
      </c>
      <c r="Q39" s="17">
        <f t="shared" si="5"/>
        <v>0.25</v>
      </c>
      <c r="R39" s="2">
        <f t="shared" si="6"/>
        <v>4</v>
      </c>
      <c r="S39" s="2">
        <f t="shared" si="7"/>
        <v>5</v>
      </c>
      <c r="T39" s="2">
        <f t="shared" si="8"/>
        <v>-1</v>
      </c>
    </row>
    <row r="40" spans="1:20">
      <c r="A40" s="21">
        <v>44534</v>
      </c>
      <c r="B40" s="20">
        <v>38</v>
      </c>
      <c r="C40" s="20" t="s">
        <v>48</v>
      </c>
      <c r="D40" s="20" t="s">
        <v>49</v>
      </c>
      <c r="E40" s="20">
        <v>1</v>
      </c>
      <c r="F40" s="20">
        <v>1</v>
      </c>
      <c r="G40" s="20" t="s">
        <v>274</v>
      </c>
      <c r="H40" s="20" t="s">
        <v>32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D20"/>
  <sheetViews>
    <sheetView workbookViewId="0">
      <selection activeCell="A7" sqref="A7:D11"/>
    </sheetView>
  </sheetViews>
  <sheetFormatPr defaultRowHeight="17"/>
  <cols>
    <col min="3" max="3" width="11" style="452" bestFit="1" customWidth="1"/>
  </cols>
  <sheetData>
    <row r="2" spans="1:4">
      <c r="B2" t="s">
        <v>70</v>
      </c>
      <c r="C2" t="s">
        <v>300</v>
      </c>
      <c r="D2" t="s">
        <v>272</v>
      </c>
    </row>
    <row r="3" spans="1:4">
      <c r="B3" t="s">
        <v>156</v>
      </c>
      <c r="C3" t="s">
        <v>271</v>
      </c>
      <c r="D3" t="s">
        <v>143</v>
      </c>
    </row>
    <row r="4" spans="1:4">
      <c r="B4" t="s">
        <v>264</v>
      </c>
      <c r="C4" t="s">
        <v>261</v>
      </c>
      <c r="D4" t="s">
        <v>111</v>
      </c>
    </row>
    <row r="5" spans="1:4">
      <c r="B5" t="s">
        <v>269</v>
      </c>
      <c r="C5" t="s">
        <v>54</v>
      </c>
    </row>
    <row r="7" spans="1:4">
      <c r="A7" t="s">
        <v>112</v>
      </c>
      <c r="B7" t="s">
        <v>171</v>
      </c>
      <c r="C7" t="s">
        <v>73</v>
      </c>
      <c r="D7" t="s">
        <v>281</v>
      </c>
    </row>
    <row r="8" spans="1:4">
      <c r="A8" t="s">
        <v>170</v>
      </c>
      <c r="B8" t="s">
        <v>93</v>
      </c>
      <c r="C8" t="s">
        <v>333</v>
      </c>
      <c r="D8" t="s">
        <v>279</v>
      </c>
    </row>
    <row r="9" spans="1:4">
      <c r="B9" t="s">
        <v>318</v>
      </c>
      <c r="C9" t="s">
        <v>313</v>
      </c>
    </row>
    <row r="10" spans="1:4">
      <c r="B10" t="s">
        <v>182</v>
      </c>
      <c r="C10" t="s">
        <v>172</v>
      </c>
    </row>
    <row r="11" spans="1:4">
      <c r="C11" t="s">
        <v>183</v>
      </c>
    </row>
    <row r="13" spans="1:4">
      <c r="B13" t="s">
        <v>177</v>
      </c>
      <c r="C13" t="s">
        <v>278</v>
      </c>
      <c r="D13" t="s">
        <v>189</v>
      </c>
    </row>
    <row r="14" spans="1:4">
      <c r="B14" t="s">
        <v>97</v>
      </c>
      <c r="C14" t="s">
        <v>280</v>
      </c>
      <c r="D14" t="s">
        <v>105</v>
      </c>
    </row>
    <row r="15" spans="1:4">
      <c r="B15" t="s">
        <v>178</v>
      </c>
    </row>
    <row r="17" spans="3:3">
      <c r="C17" t="s">
        <v>107</v>
      </c>
    </row>
    <row r="18" spans="3:3">
      <c r="C18" t="s">
        <v>108</v>
      </c>
    </row>
    <row r="19" spans="3:3">
      <c r="C19" t="s">
        <v>179</v>
      </c>
    </row>
    <row r="20" spans="3:3">
      <c r="C20" t="s">
        <v>284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2026 토탈</vt:lpstr>
      <vt:lpstr>출전기록 (26)</vt:lpstr>
      <vt:lpstr>2025 토탈</vt:lpstr>
      <vt:lpstr>출전기록 (25)</vt:lpstr>
      <vt:lpstr>25스쿼드</vt:lpstr>
      <vt:lpstr>Sheet2</vt:lpstr>
      <vt:lpstr>2024 토탈</vt:lpstr>
      <vt:lpstr>출전기록</vt:lpstr>
      <vt:lpstr>관중기록</vt:lpstr>
      <vt:lpstr>Sheet1</vt:lpstr>
      <vt:lpstr>2023 토탈</vt:lpstr>
      <vt:lpstr>2023 리그</vt:lpstr>
      <vt:lpstr>2023 ACL</vt:lpstr>
      <vt:lpstr>2023 FA컵</vt:lpstr>
      <vt:lpstr>2022</vt:lpstr>
      <vt:lpstr>2021</vt:lpstr>
      <vt:lpstr>2023 스쿼드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HYEON WOO</dc:creator>
  <cp:lastModifiedBy>이 현우</cp:lastModifiedBy>
  <dcterms:created xsi:type="dcterms:W3CDTF">2021-10-01T10:11:53Z</dcterms:created>
  <dcterms:modified xsi:type="dcterms:W3CDTF">2026-10-25T09:08:17Z</dcterms:modified>
</cp:coreProperties>
</file>