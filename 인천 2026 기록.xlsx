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70" windowWidth="29040" windowHeight="1572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2"/>
      <b val="1"/>
      <color rgb="FFFF0000"/>
      <sz val="11"/>
      <scheme val="minor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</patternFill>
    </fill>
    <fill>
      <patternFill patternType="solid">
        <fgColor rgb="FFE9F3FF"/>
      </patternFill>
    </fill>
    <fill>
      <patternFill patternType="solid">
        <fgColor rgb="FFE2B33C"/>
      </patternFill>
    </fill>
    <fill>
      <patternFill patternType="solid">
        <fgColor rgb="FFFFE3E0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30" fillId="32" borderId="55" applyAlignment="1" pivotButton="0" quotePrefix="0" xfId="0">
      <alignment horizontal="center"/>
    </xf>
    <xf numFmtId="0" fontId="30" fillId="33" borderId="55" applyAlignment="1" pivotButton="0" quotePrefix="0" xfId="0">
      <alignment horizontal="center"/>
    </xf>
    <xf numFmtId="0" fontId="30" fillId="0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0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customWidth="1" style="470" min="16" max="16"/>
    <col width="9.25" bestFit="1" customWidth="1" style="470" min="17" max="17"/>
    <col width="9.33203125" customWidth="1" style="470" min="18" max="18"/>
    <col width="9.25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11.58203125" bestFit="1" customWidth="1" style="470" min="24" max="24"/>
    <col width="5.5" bestFit="1" customWidth="1" style="470" min="25" max="25"/>
    <col width="5.25" bestFit="1" customWidth="1" style="470" min="26" max="30"/>
    <col hidden="1" width="5.25" customWidth="1" style="470" min="31" max="36"/>
    <col width="5.25" bestFit="1" customWidth="1" style="470" min="37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8" bestFit="1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5" customWidth="1" style="470" min="61" max="61"/>
    <col width="8" customWidth="1" style="470" min="62" max="62"/>
    <col width="6" customWidth="1" style="470" min="63" max="63"/>
    <col width="5" customWidth="1" style="470" min="64" max="66"/>
    <col width="6" customWidth="1" style="470" min="67" max="70"/>
  </cols>
  <sheetData>
    <row r="1" ht="22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1" t="inlineStr">
        <is>
          <t>K리그1 2026 리그순위   (2026-08-02 · 21R 종료 기준)</t>
        </is>
      </c>
      <c r="CB1" s="0" t="n"/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  <c r="CB2" s="0" t="n"/>
      <c r="CC2" s="0" t="n"/>
      <c r="CD2" s="0" t="n"/>
      <c r="CE2" s="0" t="n"/>
      <c r="CF2" s="0" t="n"/>
      <c r="CG2" s="0" t="n"/>
      <c r="CH2" s="0" t="n"/>
      <c r="CI2" s="0" t="n"/>
      <c r="CJ2" s="0" t="n"/>
      <c r="CK2" s="0" t="n"/>
      <c r="CL2" s="0" t="n"/>
      <c r="CM2" s="0" t="n"/>
      <c r="CN2" s="0" t="n"/>
    </row>
    <row r="3">
      <c r="A3" s="245" t="inlineStr">
        <is>
          <t>K리그</t>
        </is>
      </c>
      <c r="B3" s="472" t="inlineStr">
        <is>
          <t>2월 28일</t>
        </is>
      </c>
      <c r="C3" s="473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4" t="n">
        <v>18108</v>
      </c>
      <c r="V3" s="475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76">
        <f>IFERROR(AR3/AN3,0)</f>
        <v/>
      </c>
      <c r="AX3" s="476">
        <f>IFERROR(AT3/AN3,0)</f>
        <v/>
      </c>
      <c r="AY3" s="476">
        <f>IFERROR(AU3/AN3,0)</f>
        <v/>
      </c>
      <c r="BA3" s="477" t="inlineStr">
        <is>
          <t>이동준</t>
        </is>
      </c>
      <c r="BB3" s="477">
        <f>SUM(BC3:BE3)</f>
        <v/>
      </c>
      <c r="BC3" s="243">
        <f>COUNTIFS($V$3:$V$40,$BA3,$I$3:$I$40,BC$2)</f>
        <v/>
      </c>
      <c r="BD3" s="478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79" t="n">
        <v>1</v>
      </c>
      <c r="BJ3" s="479" t="inlineStr">
        <is>
          <t>서울</t>
        </is>
      </c>
      <c r="BK3" s="479" t="n">
        <v>21</v>
      </c>
      <c r="BL3" s="479" t="n">
        <v>13</v>
      </c>
      <c r="BM3" s="479" t="n">
        <v>4</v>
      </c>
      <c r="BN3" s="479" t="n">
        <v>4</v>
      </c>
      <c r="BO3" s="479" t="n">
        <v>35</v>
      </c>
      <c r="BP3" s="479" t="n">
        <v>17</v>
      </c>
      <c r="BQ3" s="479">
        <f>BO3-BP3</f>
        <v/>
      </c>
      <c r="BR3" s="479" t="n">
        <v>43</v>
      </c>
      <c r="BT3" s="0" t="n"/>
      <c r="BU3" s="0" t="n"/>
      <c r="BV3" s="0" t="n"/>
      <c r="BW3" s="0" t="n"/>
      <c r="BX3" s="0" t="n"/>
      <c r="BY3" s="0" t="n"/>
      <c r="CB3" s="0" t="n"/>
      <c r="CC3" s="0" t="n"/>
      <c r="CD3" s="0" t="n"/>
      <c r="CE3" s="0" t="n"/>
      <c r="CF3" s="0" t="n"/>
      <c r="CG3" s="0" t="n"/>
      <c r="CH3" s="0" t="n"/>
      <c r="CI3" s="0" t="n"/>
      <c r="CJ3" s="0" t="n"/>
      <c r="CK3" s="0" t="n"/>
      <c r="CL3" s="0" t="n"/>
      <c r="CM3" s="0" t="n"/>
      <c r="CN3" s="0" t="n"/>
    </row>
    <row r="4">
      <c r="A4" s="246" t="inlineStr">
        <is>
          <t>K리그</t>
        </is>
      </c>
      <c r="B4" s="480" t="inlineStr">
        <is>
          <t>3월 7일</t>
        </is>
      </c>
      <c r="C4" s="481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2" t="n"/>
      <c r="V4" s="475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76">
        <f>IFERROR(AR4/AN4,0)</f>
        <v/>
      </c>
      <c r="AX4" s="476">
        <f>IFERROR(AT4/AN4,0)</f>
        <v/>
      </c>
      <c r="AY4" s="476">
        <f>IFERROR(AU4/AN4,0)</f>
        <v/>
      </c>
      <c r="BA4" s="477" t="inlineStr">
        <is>
          <t>최현재</t>
        </is>
      </c>
      <c r="BB4" s="477">
        <f>SUM(BC4:BE4)</f>
        <v/>
      </c>
      <c r="BC4" s="243">
        <f>COUNTIFS($V$3:$V$40,$BA4,$I$3:$I$40,BC$2)</f>
        <v/>
      </c>
      <c r="BD4" s="478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3" t="n">
        <v>2</v>
      </c>
      <c r="BJ4" s="483" t="inlineStr">
        <is>
          <t>울산</t>
        </is>
      </c>
      <c r="BK4" s="483" t="n">
        <v>21</v>
      </c>
      <c r="BL4" s="483" t="n">
        <v>10</v>
      </c>
      <c r="BM4" s="483" t="n">
        <v>4</v>
      </c>
      <c r="BN4" s="483" t="n">
        <v>7</v>
      </c>
      <c r="BO4" s="483" t="n">
        <v>33</v>
      </c>
      <c r="BP4" s="483" t="n">
        <v>30</v>
      </c>
      <c r="BQ4" s="483">
        <f>BO4-BP4</f>
        <v/>
      </c>
      <c r="BR4" s="483" t="n">
        <v>34</v>
      </c>
      <c r="BT4" s="0" t="n"/>
      <c r="BU4" s="0" t="n"/>
      <c r="BV4" s="0" t="n"/>
      <c r="BW4" s="0" t="n"/>
      <c r="BX4" s="0" t="n"/>
      <c r="BY4" s="0" t="n"/>
      <c r="CB4" s="0" t="n"/>
      <c r="CC4" s="0" t="n"/>
      <c r="CD4" s="0" t="n"/>
      <c r="CE4" s="0" t="n"/>
      <c r="CF4" s="0" t="n"/>
      <c r="CG4" s="0" t="n"/>
      <c r="CH4" s="0" t="n"/>
      <c r="CI4" s="0" t="n"/>
      <c r="CJ4" s="0" t="n"/>
      <c r="CK4" s="0" t="n"/>
      <c r="CL4" s="0" t="n"/>
      <c r="CM4" s="0" t="n"/>
      <c r="CN4" s="0" t="n"/>
    </row>
    <row r="5">
      <c r="A5" s="246" t="inlineStr">
        <is>
          <t>K리그</t>
        </is>
      </c>
      <c r="B5" s="480" t="inlineStr">
        <is>
          <t>3월 15일</t>
        </is>
      </c>
      <c r="C5" s="481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2" t="n"/>
      <c r="V5" s="475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4">
        <f>IFERROR(AR5/AN5,0)</f>
        <v/>
      </c>
      <c r="AX5" s="484">
        <f>IFERROR(AT5/AN5,0)</f>
        <v/>
      </c>
      <c r="AY5" s="484">
        <f>IFERROR(AU5/AN5,0)</f>
        <v/>
      </c>
      <c r="BA5" s="477" t="inlineStr">
        <is>
          <t>설태환</t>
        </is>
      </c>
      <c r="BB5" s="477">
        <f>SUM(BC5:BE5)</f>
        <v/>
      </c>
      <c r="BC5" s="243">
        <f>COUNTIFS($V$3:$V$40,$BA5,$I$3:$I$40,BC$2)</f>
        <v/>
      </c>
      <c r="BD5" s="478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3" t="n">
        <v>3</v>
      </c>
      <c r="BJ5" s="483" t="inlineStr">
        <is>
          <t>전북</t>
        </is>
      </c>
      <c r="BK5" s="483" t="n">
        <v>21</v>
      </c>
      <c r="BL5" s="483" t="n">
        <v>9</v>
      </c>
      <c r="BM5" s="483" t="n">
        <v>7</v>
      </c>
      <c r="BN5" s="483" t="n">
        <v>5</v>
      </c>
      <c r="BO5" s="483" t="n">
        <v>27</v>
      </c>
      <c r="BP5" s="483" t="n">
        <v>16</v>
      </c>
      <c r="BQ5" s="483">
        <f>BO5-BP5</f>
        <v/>
      </c>
      <c r="BR5" s="483" t="n">
        <v>34</v>
      </c>
      <c r="BT5" s="0" t="n"/>
      <c r="BU5" s="0" t="n"/>
      <c r="BV5" s="0" t="n"/>
      <c r="BW5" s="0" t="n"/>
      <c r="BX5" s="0" t="n"/>
      <c r="BY5" s="0" t="n"/>
      <c r="CB5" s="0" t="n"/>
      <c r="CC5" s="0" t="n"/>
      <c r="CD5" s="0" t="n"/>
      <c r="CE5" s="0" t="n"/>
      <c r="CF5" s="0" t="n"/>
      <c r="CG5" s="0" t="n"/>
      <c r="CH5" s="0" t="n"/>
      <c r="CI5" s="0" t="n"/>
      <c r="CJ5" s="0" t="n"/>
      <c r="CK5" s="0" t="n"/>
      <c r="CL5" s="0" t="n"/>
      <c r="CM5" s="0" t="n"/>
      <c r="CN5" s="0" t="n"/>
    </row>
    <row r="6">
      <c r="A6" s="246" t="inlineStr">
        <is>
          <t>K리그</t>
        </is>
      </c>
      <c r="B6" s="480" t="inlineStr">
        <is>
          <t>3월 18일</t>
        </is>
      </c>
      <c r="C6" s="481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2" t="n">
        <v>6360</v>
      </c>
      <c r="V6" s="475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77" t="inlineStr">
        <is>
          <t>김종혁</t>
        </is>
      </c>
      <c r="BB6" s="477">
        <f>SUM(BC6:BE6)</f>
        <v/>
      </c>
      <c r="BC6" s="243">
        <f>COUNTIFS($V$3:$V$40,$BA6,$I$3:$I$40,BC$2)</f>
        <v/>
      </c>
      <c r="BD6" s="478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85" t="n">
        <v>4</v>
      </c>
      <c r="BJ6" s="485" t="inlineStr">
        <is>
          <t>강원</t>
        </is>
      </c>
      <c r="BK6" s="485" t="n">
        <v>21</v>
      </c>
      <c r="BL6" s="485" t="n">
        <v>8</v>
      </c>
      <c r="BM6" s="485" t="n">
        <v>8</v>
      </c>
      <c r="BN6" s="485" t="n">
        <v>5</v>
      </c>
      <c r="BO6" s="485" t="n">
        <v>25</v>
      </c>
      <c r="BP6" s="485" t="n">
        <v>17</v>
      </c>
      <c r="BQ6" s="485">
        <f>BO6-BP6</f>
        <v/>
      </c>
      <c r="BR6" s="485" t="n">
        <v>32</v>
      </c>
      <c r="BT6" s="0" t="n"/>
      <c r="BU6" s="0" t="n"/>
      <c r="BV6" s="0" t="n"/>
      <c r="BW6" s="0" t="n"/>
      <c r="BX6" s="0" t="n"/>
      <c r="BY6" s="0" t="n"/>
      <c r="CB6" s="0" t="n"/>
      <c r="CC6" s="0" t="n"/>
      <c r="CD6" s="0" t="n"/>
      <c r="CE6" s="0" t="n"/>
      <c r="CF6" s="0" t="n"/>
      <c r="CG6" s="0" t="n"/>
      <c r="CH6" s="0" t="n"/>
      <c r="CI6" s="0" t="n"/>
      <c r="CJ6" s="0" t="n"/>
      <c r="CK6" s="0" t="n"/>
      <c r="CL6" s="0" t="n"/>
      <c r="CM6" s="0" t="n"/>
      <c r="CN6" s="0" t="n"/>
    </row>
    <row r="7">
      <c r="A7" s="246" t="inlineStr">
        <is>
          <t>K리그</t>
        </is>
      </c>
      <c r="B7" s="480" t="inlineStr">
        <is>
          <t>3월 22일</t>
        </is>
      </c>
      <c r="C7" s="481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/>
      <c r="V7" s="475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77" t="inlineStr">
        <is>
          <t>채상협</t>
        </is>
      </c>
      <c r="BB7" s="477">
        <f>SUM(BC7:BE7)</f>
        <v/>
      </c>
      <c r="BC7" s="243">
        <f>COUNTIFS($V$3:$V$40,$BA7,$I$3:$I$40,BC$2)</f>
        <v/>
      </c>
      <c r="BD7" s="478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85" t="n">
        <v>5</v>
      </c>
      <c r="BJ7" s="485" t="inlineStr">
        <is>
          <t>안양</t>
        </is>
      </c>
      <c r="BK7" s="485" t="n">
        <v>21</v>
      </c>
      <c r="BL7" s="485" t="n">
        <v>7</v>
      </c>
      <c r="BM7" s="485" t="n">
        <v>9</v>
      </c>
      <c r="BN7" s="485" t="n">
        <v>5</v>
      </c>
      <c r="BO7" s="485" t="n">
        <v>29</v>
      </c>
      <c r="BP7" s="485" t="n">
        <v>26</v>
      </c>
      <c r="BQ7" s="485">
        <f>BO7-BP7</f>
        <v/>
      </c>
      <c r="BR7" s="485" t="n">
        <v>30</v>
      </c>
      <c r="BT7" s="0" t="n"/>
      <c r="BU7" s="0" t="n"/>
      <c r="BV7" s="0" t="n"/>
      <c r="BW7" s="0" t="n"/>
      <c r="BX7" s="0" t="n"/>
      <c r="BY7" s="0" t="n"/>
      <c r="CB7" s="0" t="n"/>
      <c r="CC7" s="0" t="n"/>
      <c r="CD7" s="0" t="n"/>
      <c r="CE7" s="0" t="n"/>
      <c r="CF7" s="0" t="n"/>
      <c r="CG7" s="0" t="n"/>
      <c r="CH7" s="0" t="n"/>
      <c r="CI7" s="0" t="n"/>
      <c r="CJ7" s="0" t="n"/>
      <c r="CK7" s="0" t="n"/>
      <c r="CL7" s="0" t="n"/>
      <c r="CM7" s="0" t="n"/>
      <c r="CN7" s="0" t="n"/>
    </row>
    <row r="8">
      <c r="A8" s="246" t="inlineStr">
        <is>
          <t>K리그</t>
        </is>
      </c>
      <c r="B8" s="480" t="inlineStr">
        <is>
          <t>4월 5일</t>
        </is>
      </c>
      <c r="C8" s="481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2" t="n">
        <v>8239</v>
      </c>
      <c r="V8" s="475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77" t="inlineStr">
        <is>
          <t>최철준</t>
        </is>
      </c>
      <c r="BB8" s="477">
        <f>SUM(BC8:BE8)</f>
        <v/>
      </c>
      <c r="BC8" s="243">
        <f>COUNTIFS($V$3:$V$40,$BA8,$I$3:$I$40,BC$2)</f>
        <v/>
      </c>
      <c r="BD8" s="478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86" t="n">
        <v>6</v>
      </c>
      <c r="BJ8" s="486" t="inlineStr">
        <is>
          <t>인천</t>
        </is>
      </c>
      <c r="BK8" s="486" t="n">
        <v>21</v>
      </c>
      <c r="BL8" s="486" t="n">
        <v>8</v>
      </c>
      <c r="BM8" s="486" t="n">
        <v>5</v>
      </c>
      <c r="BN8" s="486" t="n">
        <v>8</v>
      </c>
      <c r="BO8" s="486" t="n">
        <v>28</v>
      </c>
      <c r="BP8" s="486" t="n">
        <v>24</v>
      </c>
      <c r="BQ8" s="486">
        <f>BO8-BP8</f>
        <v/>
      </c>
      <c r="BR8" s="486" t="n">
        <v>29</v>
      </c>
      <c r="BT8" s="0" t="n"/>
      <c r="BU8" s="0" t="n"/>
      <c r="BV8" s="0" t="n"/>
      <c r="BW8" s="0" t="n"/>
      <c r="BX8" s="0" t="n"/>
      <c r="BY8" s="0" t="n"/>
      <c r="CB8" s="0" t="n"/>
      <c r="CC8" s="0" t="n"/>
      <c r="CD8" s="0" t="n"/>
      <c r="CE8" s="0" t="n"/>
      <c r="CF8" s="0" t="n"/>
      <c r="CG8" s="0" t="n"/>
      <c r="CH8" s="0" t="n"/>
      <c r="CI8" s="0" t="n"/>
      <c r="CJ8" s="0" t="n"/>
      <c r="CK8" s="0" t="n"/>
      <c r="CL8" s="0" t="n"/>
      <c r="CM8" s="0" t="n"/>
      <c r="CN8" s="0" t="n"/>
    </row>
    <row r="9">
      <c r="A9" s="246" t="inlineStr">
        <is>
          <t>K리그</t>
        </is>
      </c>
      <c r="B9" s="480" t="inlineStr">
        <is>
          <t>4월 11일</t>
        </is>
      </c>
      <c r="C9" s="481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2" t="n">
        <v>11358</v>
      </c>
      <c r="V9" s="475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77" t="inlineStr">
        <is>
          <t>송민석</t>
        </is>
      </c>
      <c r="BB9" s="477">
        <f>SUM(BC9:BE9)</f>
        <v/>
      </c>
      <c r="BC9" s="243">
        <f>COUNTIFS($V$3:$V$40,$BA9,$I$3:$I$40,BC$2)</f>
        <v/>
      </c>
      <c r="BD9" s="478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85" t="n">
        <v>7</v>
      </c>
      <c r="BJ9" s="485" t="inlineStr">
        <is>
          <t>제주</t>
        </is>
      </c>
      <c r="BK9" s="485" t="n">
        <v>21</v>
      </c>
      <c r="BL9" s="485" t="n">
        <v>7</v>
      </c>
      <c r="BM9" s="485" t="n">
        <v>7</v>
      </c>
      <c r="BN9" s="485" t="n">
        <v>7</v>
      </c>
      <c r="BO9" s="485" t="n">
        <v>22</v>
      </c>
      <c r="BP9" s="485" t="n">
        <v>23</v>
      </c>
      <c r="BQ9" s="485">
        <f>BO9-BP9</f>
        <v/>
      </c>
      <c r="BR9" s="485" t="n">
        <v>28</v>
      </c>
      <c r="BT9" s="0" t="n"/>
      <c r="BU9" s="0" t="n"/>
      <c r="BV9" s="0" t="n"/>
      <c r="BW9" s="0" t="n"/>
      <c r="BX9" s="0" t="n"/>
      <c r="BY9" s="0" t="n"/>
      <c r="CB9" s="0" t="n"/>
      <c r="CC9" s="0" t="n"/>
      <c r="CD9" s="0" t="n"/>
      <c r="CE9" s="0" t="n"/>
      <c r="CF9" s="0" t="n"/>
      <c r="CG9" s="0" t="n"/>
      <c r="CH9" s="0" t="n"/>
      <c r="CI9" s="0" t="n"/>
      <c r="CJ9" s="0" t="n"/>
      <c r="CK9" s="0" t="n"/>
      <c r="CL9" s="0" t="n"/>
      <c r="CM9" s="0" t="n"/>
      <c r="CN9" s="0" t="n"/>
    </row>
    <row r="10">
      <c r="A10" s="246" t="inlineStr">
        <is>
          <t>K리그</t>
        </is>
      </c>
      <c r="B10" s="480" t="inlineStr">
        <is>
          <t>4월 18일</t>
        </is>
      </c>
      <c r="C10" s="481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2" t="n"/>
      <c r="V10" s="475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77" t="inlineStr">
        <is>
          <t>신용준</t>
        </is>
      </c>
      <c r="BB10" s="477">
        <f>SUM(BC10:BE10)</f>
        <v/>
      </c>
      <c r="BC10" s="243">
        <f>COUNTIFS($V$3:$V$40,$BA10,$I$3:$I$40,BC$2)</f>
        <v/>
      </c>
      <c r="BD10" s="478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85" t="n">
        <v>8</v>
      </c>
      <c r="BJ10" s="485" t="inlineStr">
        <is>
          <t>포항</t>
        </is>
      </c>
      <c r="BK10" s="485" t="n">
        <v>21</v>
      </c>
      <c r="BL10" s="485" t="n">
        <v>8</v>
      </c>
      <c r="BM10" s="485" t="n">
        <v>4</v>
      </c>
      <c r="BN10" s="485" t="n">
        <v>9</v>
      </c>
      <c r="BO10" s="485" t="n">
        <v>20</v>
      </c>
      <c r="BP10" s="485" t="n">
        <v>22</v>
      </c>
      <c r="BQ10" s="485">
        <f>BO10-BP10</f>
        <v/>
      </c>
      <c r="BR10" s="485" t="n">
        <v>28</v>
      </c>
      <c r="BT10" s="0" t="n"/>
      <c r="BU10" s="0" t="n"/>
      <c r="BV10" s="0" t="n"/>
      <c r="BW10" s="0" t="n"/>
      <c r="BX10" s="0" t="n"/>
      <c r="BY10" s="0" t="n"/>
      <c r="CB10" s="0" t="n"/>
      <c r="CC10" s="0" t="n"/>
      <c r="CD10" s="0" t="n"/>
      <c r="CE10" s="0" t="n"/>
      <c r="CF10" s="0" t="n"/>
      <c r="CG10" s="0" t="n"/>
      <c r="CH10" s="0" t="n"/>
      <c r="CI10" s="0" t="n"/>
      <c r="CJ10" s="0" t="n"/>
      <c r="CK10" s="0" t="n"/>
      <c r="CL10" s="0" t="n"/>
      <c r="CM10" s="0" t="n"/>
      <c r="CN10" s="0" t="n"/>
    </row>
    <row r="11">
      <c r="A11" s="246" t="inlineStr">
        <is>
          <t>K리그</t>
        </is>
      </c>
      <c r="B11" s="480" t="inlineStr">
        <is>
          <t>4월 21일</t>
        </is>
      </c>
      <c r="C11" s="481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n"/>
      <c r="R11" s="270" t="inlineStr">
        <is>
          <t>최승구</t>
        </is>
      </c>
      <c r="S11" s="270" t="n"/>
      <c r="T11" s="270" t="n"/>
      <c r="U11" s="482" t="n"/>
      <c r="V11" s="475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77" t="inlineStr">
        <is>
          <t>고형진</t>
        </is>
      </c>
      <c r="BB11" s="477">
        <f>SUM(BC11:BE11)</f>
        <v/>
      </c>
      <c r="BC11" s="243">
        <f>COUNTIFS($V$3:$V$40,$BA11,$I$3:$I$40,BC$2)</f>
        <v/>
      </c>
      <c r="BD11" s="478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85" t="n">
        <v>9</v>
      </c>
      <c r="BJ11" s="485" t="inlineStr">
        <is>
          <t>대전</t>
        </is>
      </c>
      <c r="BK11" s="485" t="n">
        <v>21</v>
      </c>
      <c r="BL11" s="485" t="n">
        <v>5</v>
      </c>
      <c r="BM11" s="485" t="n">
        <v>8</v>
      </c>
      <c r="BN11" s="485" t="n">
        <v>8</v>
      </c>
      <c r="BO11" s="485" t="n">
        <v>25</v>
      </c>
      <c r="BP11" s="485" t="n">
        <v>23</v>
      </c>
      <c r="BQ11" s="485">
        <f>BO11-BP11</f>
        <v/>
      </c>
      <c r="BR11" s="485" t="n">
        <v>23</v>
      </c>
      <c r="BT11" s="0" t="n"/>
      <c r="BU11" s="0" t="n"/>
      <c r="BV11" s="0" t="n"/>
      <c r="BW11" s="0" t="n"/>
      <c r="BX11" s="0" t="n"/>
      <c r="BY11" s="0" t="n"/>
      <c r="CB11" s="0" t="n"/>
      <c r="CC11" s="0" t="n"/>
      <c r="CD11" s="0" t="n"/>
      <c r="CE11" s="0" t="n"/>
      <c r="CF11" s="0" t="n"/>
      <c r="CG11" s="0" t="n"/>
      <c r="CH11" s="0" t="n"/>
      <c r="CI11" s="0" t="n"/>
      <c r="CJ11" s="0" t="n"/>
      <c r="CK11" s="0" t="n"/>
      <c r="CL11" s="0" t="n"/>
      <c r="CM11" s="0" t="n"/>
      <c r="CN11" s="0" t="n"/>
    </row>
    <row r="12">
      <c r="A12" s="246" t="inlineStr">
        <is>
          <t>K리그</t>
        </is>
      </c>
      <c r="B12" s="480" t="inlineStr">
        <is>
          <t>4월 25일</t>
        </is>
      </c>
      <c r="C12" s="481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2" t="n">
        <v>8371</v>
      </c>
      <c r="V12" s="475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77" t="inlineStr">
        <is>
          <t>김우성</t>
        </is>
      </c>
      <c r="BB12" s="477">
        <f>SUM(BC12:BE12)</f>
        <v/>
      </c>
      <c r="BC12" s="243">
        <f>COUNTIFS($V$3:$V$40,$BA12,$I$3:$I$40,BC$2)</f>
        <v/>
      </c>
      <c r="BD12" s="478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85" t="n">
        <v>10</v>
      </c>
      <c r="BJ12" s="485" t="inlineStr">
        <is>
          <t>김천</t>
        </is>
      </c>
      <c r="BK12" s="485" t="n">
        <v>21</v>
      </c>
      <c r="BL12" s="485" t="n">
        <v>4</v>
      </c>
      <c r="BM12" s="485" t="n">
        <v>11</v>
      </c>
      <c r="BN12" s="485" t="n">
        <v>6</v>
      </c>
      <c r="BO12" s="485" t="n">
        <v>22</v>
      </c>
      <c r="BP12" s="485" t="n">
        <v>28</v>
      </c>
      <c r="BQ12" s="485">
        <f>BO12-BP12</f>
        <v/>
      </c>
      <c r="BR12" s="485" t="n">
        <v>23</v>
      </c>
      <c r="BT12" s="0" t="n"/>
      <c r="BU12" s="0" t="n"/>
      <c r="BV12" s="0" t="n"/>
      <c r="BW12" s="0" t="n"/>
      <c r="BX12" s="0" t="n"/>
      <c r="BY12" s="0" t="n"/>
      <c r="CB12" s="0" t="n"/>
      <c r="CC12" s="0" t="n"/>
      <c r="CD12" s="0" t="n"/>
      <c r="CE12" s="0" t="n"/>
      <c r="CF12" s="0" t="n"/>
      <c r="CG12" s="0" t="n"/>
      <c r="CH12" s="0" t="n"/>
      <c r="CI12" s="0" t="n"/>
      <c r="CJ12" s="0" t="n"/>
      <c r="CK12" s="0" t="n"/>
      <c r="CL12" s="0" t="n"/>
      <c r="CM12" s="0" t="n"/>
      <c r="CN12" s="0" t="n"/>
    </row>
    <row r="13">
      <c r="A13" s="246" t="inlineStr">
        <is>
          <t>K리그</t>
        </is>
      </c>
      <c r="B13" s="480" t="inlineStr">
        <is>
          <t>5월 2일</t>
        </is>
      </c>
      <c r="C13" s="481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2" t="n">
        <v>11404</v>
      </c>
      <c r="V13" s="475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77" t="inlineStr">
        <is>
          <t>박병진</t>
        </is>
      </c>
      <c r="BB13" s="477">
        <f>SUM(BC13:BE13)</f>
        <v/>
      </c>
      <c r="BC13" s="243">
        <f>COUNTIFS($V$3:$V$40,$BA13,$I$3:$I$40,BC$2)</f>
        <v/>
      </c>
      <c r="BD13" s="478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85" t="n">
        <v>11</v>
      </c>
      <c r="BJ13" s="485" t="inlineStr">
        <is>
          <t>부천</t>
        </is>
      </c>
      <c r="BK13" s="485" t="n">
        <v>21</v>
      </c>
      <c r="BL13" s="485" t="n">
        <v>5</v>
      </c>
      <c r="BM13" s="485" t="n">
        <v>8</v>
      </c>
      <c r="BN13" s="485" t="n">
        <v>8</v>
      </c>
      <c r="BO13" s="485" t="n">
        <v>21</v>
      </c>
      <c r="BP13" s="485" t="n">
        <v>25</v>
      </c>
      <c r="BQ13" s="485">
        <f>BO13-BP13</f>
        <v/>
      </c>
      <c r="BR13" s="485" t="n">
        <v>23</v>
      </c>
      <c r="BT13" s="0" t="n"/>
      <c r="BU13" s="0" t="n"/>
      <c r="BV13" s="0" t="n"/>
      <c r="BW13" s="0" t="n"/>
      <c r="BX13" s="0" t="n"/>
      <c r="BY13" s="0" t="n"/>
      <c r="CB13" s="0" t="n"/>
      <c r="CC13" s="0" t="n"/>
      <c r="CD13" s="0" t="n"/>
      <c r="CE13" s="0" t="n"/>
      <c r="CF13" s="0" t="n"/>
      <c r="CG13" s="0" t="n"/>
      <c r="CH13" s="0" t="n"/>
      <c r="CI13" s="0" t="n"/>
      <c r="CJ13" s="0" t="n"/>
      <c r="CK13" s="0" t="n"/>
      <c r="CL13" s="0" t="n"/>
      <c r="CM13" s="0" t="n"/>
      <c r="CN13" s="0" t="n"/>
    </row>
    <row r="14" ht="17.5" customHeight="1" s="470">
      <c r="A14" s="367" t="inlineStr">
        <is>
          <t>K리그</t>
        </is>
      </c>
      <c r="B14" s="487" t="inlineStr">
        <is>
          <t>5월 5일</t>
        </is>
      </c>
      <c r="C14" s="488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9" t="n"/>
      <c r="V14" s="490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77" t="inlineStr">
        <is>
          <t>김대용</t>
        </is>
      </c>
      <c r="BB14" s="477">
        <f>SUM(BC14:BE14)</f>
        <v/>
      </c>
      <c r="BC14" s="243">
        <f>COUNTIFS($V$3:$V$40,$BA14,$I$3:$I$40,BC$2)</f>
        <v/>
      </c>
      <c r="BD14" s="478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1" t="n">
        <v>12</v>
      </c>
      <c r="BJ14" s="491" t="inlineStr">
        <is>
          <t>광주</t>
        </is>
      </c>
      <c r="BK14" s="491" t="n">
        <v>21</v>
      </c>
      <c r="BL14" s="491" t="n">
        <v>1</v>
      </c>
      <c r="BM14" s="491" t="n">
        <v>7</v>
      </c>
      <c r="BN14" s="491" t="n">
        <v>13</v>
      </c>
      <c r="BO14" s="491" t="n">
        <v>11</v>
      </c>
      <c r="BP14" s="491" t="n">
        <v>47</v>
      </c>
      <c r="BQ14" s="491">
        <f>BO14-BP14</f>
        <v/>
      </c>
      <c r="BR14" s="491" t="n">
        <v>10</v>
      </c>
      <c r="BT14" s="0" t="n"/>
      <c r="BU14" s="0" t="n"/>
      <c r="BV14" s="0" t="n"/>
      <c r="BW14" s="0" t="n"/>
      <c r="BX14" s="0" t="n"/>
      <c r="BY14" s="0" t="n"/>
      <c r="CB14" s="0" t="n"/>
      <c r="CC14" s="0" t="n"/>
      <c r="CD14" s="0" t="n"/>
      <c r="CE14" s="0" t="n"/>
      <c r="CF14" s="0" t="n"/>
      <c r="CG14" s="0" t="n"/>
      <c r="CH14" s="0" t="n"/>
      <c r="CI14" s="0" t="n"/>
      <c r="CJ14" s="0" t="n"/>
      <c r="CK14" s="0" t="n"/>
      <c r="CL14" s="0" t="n"/>
      <c r="CM14" s="0" t="n"/>
      <c r="CN14" s="0" t="n"/>
    </row>
    <row r="15" ht="17.5" customHeight="1" s="470">
      <c r="A15" s="367" t="inlineStr">
        <is>
          <t>K리그</t>
        </is>
      </c>
      <c r="B15" s="487" t="inlineStr">
        <is>
          <t>5월 9일</t>
        </is>
      </c>
      <c r="C15" s="488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2" t="n"/>
      <c r="V15" s="493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94" t="inlineStr">
        <is>
          <t>총합</t>
        </is>
      </c>
      <c r="BB15" s="494">
        <f>SUM(BB3:BB14)</f>
        <v/>
      </c>
      <c r="BC15" s="243">
        <f>SUM(BC3:BC14)</f>
        <v/>
      </c>
      <c r="BD15" s="495">
        <f>SUM(BD3:BD14)</f>
        <v/>
      </c>
      <c r="BE15" s="496">
        <f>SUM(BE3:BE14)</f>
        <v/>
      </c>
      <c r="BF15" s="89">
        <f>SUM(BF3:BF14)</f>
        <v/>
      </c>
      <c r="BG15" s="11">
        <f>IFERROR(BC15/BB15,0)</f>
        <v/>
      </c>
      <c r="BI15" s="469" t="inlineStr">
        <is>
          <t>출처: soccer365 / K리그 공식</t>
        </is>
      </c>
      <c r="BT15" s="0" t="n"/>
      <c r="BU15" s="0" t="n"/>
      <c r="BV15" s="0" t="n"/>
      <c r="BW15" s="0" t="n"/>
      <c r="BX15" s="0" t="n"/>
      <c r="BY15" s="0" t="n"/>
      <c r="CB15" s="0" t="n"/>
      <c r="CC15" s="0" t="n"/>
      <c r="CD15" s="0" t="n"/>
      <c r="CE15" s="0" t="n"/>
      <c r="CF15" s="0" t="n"/>
      <c r="CG15" s="0" t="n"/>
      <c r="CH15" s="0" t="n"/>
      <c r="CI15" s="0" t="n"/>
      <c r="CJ15" s="0" t="n"/>
      <c r="CK15" s="0" t="n"/>
      <c r="CL15" s="0" t="n"/>
      <c r="CM15" s="0" t="n"/>
      <c r="CN15" s="0" t="n"/>
    </row>
    <row r="16">
      <c r="A16" s="367" t="inlineStr">
        <is>
          <t>K리그</t>
        </is>
      </c>
      <c r="B16" s="487" t="inlineStr">
        <is>
          <t>5월 12일</t>
        </is>
      </c>
      <c r="C16" s="488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9" t="n">
        <v>6620</v>
      </c>
      <c r="V16" s="490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T16" s="0" t="n"/>
      <c r="BU16" s="0" t="n"/>
      <c r="BV16" s="0" t="n"/>
      <c r="BW16" s="0" t="n"/>
      <c r="BX16" s="0" t="n"/>
      <c r="BY16" s="0" t="n"/>
      <c r="CB16" s="0" t="n"/>
      <c r="CC16" s="0" t="n"/>
      <c r="CD16" s="0" t="n"/>
      <c r="CE16" s="0" t="n"/>
      <c r="CF16" s="0" t="n"/>
      <c r="CG16" s="0" t="n"/>
      <c r="CH16" s="0" t="n"/>
      <c r="CI16" s="0" t="n"/>
      <c r="CJ16" s="0" t="n"/>
      <c r="CK16" s="0" t="n"/>
      <c r="CL16" s="0" t="n"/>
      <c r="CM16" s="0" t="n"/>
      <c r="CN16" s="0" t="n"/>
    </row>
    <row r="17">
      <c r="A17" s="367" t="inlineStr">
        <is>
          <t>K리그</t>
        </is>
      </c>
      <c r="B17" s="487" t="inlineStr">
        <is>
          <t>5월 16일</t>
        </is>
      </c>
      <c r="C17" s="488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9" t="n">
        <v>11128</v>
      </c>
      <c r="V17" s="490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T17" s="0" t="n"/>
      <c r="BU17" s="0" t="n"/>
      <c r="BV17" s="0" t="n"/>
      <c r="BW17" s="0" t="n"/>
      <c r="BX17" s="0" t="n"/>
      <c r="BY17" s="0" t="n"/>
      <c r="CB17" s="0" t="n"/>
      <c r="CC17" s="0" t="n"/>
      <c r="CD17" s="0" t="n"/>
      <c r="CE17" s="0" t="n"/>
      <c r="CF17" s="0" t="n"/>
      <c r="CG17" s="0" t="n"/>
      <c r="CH17" s="0" t="n"/>
      <c r="CI17" s="0" t="n"/>
      <c r="CJ17" s="0" t="n"/>
      <c r="CK17" s="0" t="n"/>
      <c r="CL17" s="0" t="n"/>
      <c r="CM17" s="0" t="n"/>
      <c r="CN17" s="0" t="n"/>
    </row>
    <row r="18">
      <c r="A18" s="367" t="inlineStr">
        <is>
          <t>K리그</t>
        </is>
      </c>
      <c r="B18" s="487" t="inlineStr">
        <is>
          <t>7월 5일</t>
        </is>
      </c>
      <c r="C18" s="488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9" t="n"/>
      <c r="V18" s="490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  <c r="BT18" s="0" t="n"/>
      <c r="BU18" s="0" t="n"/>
      <c r="BV18" s="0" t="n"/>
      <c r="BW18" s="0" t="n"/>
      <c r="BX18" s="0" t="n"/>
      <c r="BY18" s="0" t="n"/>
      <c r="CB18" s="0" t="n"/>
      <c r="CC18" s="0" t="n"/>
      <c r="CD18" s="0" t="n"/>
      <c r="CE18" s="0" t="n"/>
      <c r="CF18" s="0" t="n"/>
      <c r="CG18" s="0" t="n"/>
      <c r="CH18" s="0" t="n"/>
      <c r="CI18" s="0" t="n"/>
      <c r="CJ18" s="0" t="n"/>
      <c r="CK18" s="0" t="n"/>
      <c r="CL18" s="0" t="n"/>
      <c r="CM18" s="0" t="n"/>
      <c r="CN18" s="0" t="n"/>
    </row>
    <row r="19">
      <c r="A19" s="367" t="inlineStr">
        <is>
          <t>K리그</t>
        </is>
      </c>
      <c r="B19" s="487" t="inlineStr">
        <is>
          <t>7월 12일</t>
        </is>
      </c>
      <c r="C19" s="488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9" t="n">
        <v>10616</v>
      </c>
      <c r="V19" s="490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  <c r="BT19" s="0" t="n"/>
      <c r="BU19" s="0" t="n"/>
      <c r="BV19" s="0" t="n"/>
      <c r="BW19" s="0" t="n"/>
      <c r="BX19" s="0" t="n"/>
      <c r="BY19" s="0" t="n"/>
      <c r="CB19" s="0" t="n"/>
      <c r="CC19" s="0" t="n"/>
      <c r="CD19" s="0" t="n"/>
      <c r="CE19" s="0" t="n"/>
      <c r="CF19" s="0" t="n"/>
      <c r="CG19" s="0" t="n"/>
      <c r="CH19" s="0" t="n"/>
      <c r="CI19" s="0" t="n"/>
      <c r="CJ19" s="0" t="n"/>
      <c r="CK19" s="0" t="n"/>
      <c r="CL19" s="0" t="n"/>
      <c r="CM19" s="0" t="n"/>
      <c r="CN19" s="0" t="n"/>
    </row>
    <row r="20">
      <c r="A20" s="367" t="inlineStr">
        <is>
          <t>K리그</t>
        </is>
      </c>
      <c r="B20" s="487" t="inlineStr">
        <is>
          <t>7월 18일</t>
        </is>
      </c>
      <c r="C20" s="488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9" t="n">
        <v>12984</v>
      </c>
      <c r="V20" s="490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  <c r="BT20" s="0" t="n"/>
      <c r="BU20" s="0" t="n"/>
      <c r="BV20" s="0" t="n"/>
      <c r="BW20" s="0" t="n"/>
      <c r="BX20" s="0" t="n"/>
      <c r="BY20" s="0" t="n"/>
      <c r="CB20" s="0" t="n"/>
      <c r="CC20" s="0" t="n"/>
      <c r="CD20" s="0" t="n"/>
      <c r="CE20" s="0" t="n"/>
      <c r="CF20" s="0" t="n"/>
      <c r="CG20" s="0" t="n"/>
      <c r="CH20" s="0" t="n"/>
      <c r="CI20" s="0" t="n"/>
      <c r="CJ20" s="0" t="n"/>
      <c r="CK20" s="0" t="n"/>
      <c r="CL20" s="0" t="n"/>
      <c r="CM20" s="0" t="n"/>
      <c r="CN20" s="0" t="n"/>
    </row>
    <row r="21">
      <c r="A21" s="367" t="inlineStr">
        <is>
          <t>K리그</t>
        </is>
      </c>
      <c r="B21" s="487" t="inlineStr">
        <is>
          <t>7월 21일</t>
        </is>
      </c>
      <c r="C21" s="488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9" t="n"/>
      <c r="V21" s="490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  <c r="BT21" s="0" t="n"/>
      <c r="BU21" s="0" t="n"/>
      <c r="BV21" s="0" t="n"/>
      <c r="BW21" s="0" t="n"/>
      <c r="BX21" s="0" t="n"/>
      <c r="BY21" s="0" t="n"/>
      <c r="CB21" s="0" t="n"/>
      <c r="CC21" s="0" t="n"/>
      <c r="CD21" s="0" t="n"/>
      <c r="CE21" s="0" t="n"/>
      <c r="CF21" s="0" t="n"/>
      <c r="CG21" s="0" t="n"/>
      <c r="CH21" s="0" t="n"/>
      <c r="CI21" s="0" t="n"/>
      <c r="CJ21" s="0" t="n"/>
      <c r="CK21" s="0" t="n"/>
      <c r="CL21" s="0" t="n"/>
      <c r="CM21" s="0" t="n"/>
      <c r="CN21" s="0" t="n"/>
    </row>
    <row r="22">
      <c r="A22" s="367" t="inlineStr">
        <is>
          <t>K리그</t>
        </is>
      </c>
      <c r="B22" s="487" t="inlineStr">
        <is>
          <t>7월 26일</t>
        </is>
      </c>
      <c r="C22" s="488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9" t="n">
        <v>8623</v>
      </c>
      <c r="V22" s="490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  <c r="BT22" s="0" t="n"/>
      <c r="BU22" s="0" t="n"/>
      <c r="BV22" s="0" t="n"/>
      <c r="BW22" s="0" t="n"/>
      <c r="BX22" s="0" t="n"/>
      <c r="BY22" s="0" t="n"/>
      <c r="CB22" s="0" t="n"/>
      <c r="CC22" s="0" t="n"/>
      <c r="CD22" s="0" t="n"/>
      <c r="CE22" s="0" t="n"/>
      <c r="CF22" s="0" t="n"/>
      <c r="CG22" s="0" t="n"/>
      <c r="CH22" s="0" t="n"/>
      <c r="CI22" s="0" t="n"/>
      <c r="CJ22" s="0" t="n"/>
      <c r="CK22" s="0" t="n"/>
      <c r="CL22" s="0" t="n"/>
      <c r="CM22" s="0" t="n"/>
      <c r="CN22" s="0" t="n"/>
    </row>
    <row r="23">
      <c r="A23" s="367" t="inlineStr">
        <is>
          <t>K리그</t>
        </is>
      </c>
      <c r="B23" s="487" t="inlineStr">
        <is>
          <t>8월 2일</t>
        </is>
      </c>
      <c r="C23" s="488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9" t="n"/>
      <c r="V23" s="490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  <c r="BT23" s="0" t="n"/>
      <c r="BU23" s="0" t="n"/>
      <c r="BV23" s="0" t="n"/>
      <c r="BW23" s="0" t="n"/>
      <c r="BX23" s="0" t="n"/>
      <c r="BY23" s="0" t="n"/>
      <c r="CB23" s="0" t="n"/>
      <c r="CC23" s="0" t="n"/>
      <c r="CD23" s="0" t="n"/>
      <c r="CE23" s="0" t="n"/>
      <c r="CF23" s="0" t="n"/>
      <c r="CG23" s="0" t="n"/>
      <c r="CH23" s="0" t="n"/>
      <c r="CI23" s="0" t="n"/>
      <c r="CJ23" s="0" t="n"/>
      <c r="CK23" s="0" t="n"/>
      <c r="CL23" s="0" t="n"/>
      <c r="CM23" s="0" t="n"/>
      <c r="CN23" s="0" t="n"/>
    </row>
    <row r="24">
      <c r="A24" s="367" t="inlineStr">
        <is>
          <t>K리그</t>
        </is>
      </c>
      <c r="B24" s="487" t="inlineStr">
        <is>
          <t>9월 27일</t>
        </is>
      </c>
      <c r="C24" s="488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9" t="n"/>
      <c r="V24" s="490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  <c r="BT24" s="0" t="n"/>
      <c r="BU24" s="0" t="n"/>
      <c r="BV24" s="0" t="n"/>
      <c r="BW24" s="0" t="n"/>
      <c r="BX24" s="0" t="n"/>
      <c r="BY24" s="0" t="n"/>
      <c r="CB24" s="0" t="n"/>
    </row>
    <row r="25">
      <c r="A25" s="246" t="inlineStr">
        <is>
          <t>K리그</t>
        </is>
      </c>
      <c r="B25" s="480" t="inlineStr">
        <is>
          <t>8월 16일</t>
        </is>
      </c>
      <c r="C25" s="481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2" t="n"/>
      <c r="V25" s="475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  <c r="BT25" s="0" t="n"/>
      <c r="BU25" s="0" t="n"/>
      <c r="BV25" s="0" t="n"/>
      <c r="BW25" s="0" t="n"/>
      <c r="BX25" s="0" t="n"/>
      <c r="BY25" s="0" t="n"/>
      <c r="CB25" s="0" t="n"/>
    </row>
    <row r="26">
      <c r="A26" s="246" t="inlineStr">
        <is>
          <t>K리그</t>
        </is>
      </c>
      <c r="B26" s="480" t="inlineStr">
        <is>
          <t>8월 23일</t>
        </is>
      </c>
      <c r="C26" s="481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2" t="n"/>
      <c r="V26" s="475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  <c r="BT26" s="0" t="n"/>
      <c r="BU26" s="0" t="n"/>
      <c r="BV26" s="0" t="n"/>
      <c r="BW26" s="0" t="n"/>
      <c r="BX26" s="0" t="n"/>
      <c r="BY26" s="0" t="n"/>
      <c r="CB26" s="0" t="n"/>
    </row>
    <row r="27">
      <c r="A27" s="246" t="inlineStr">
        <is>
          <t>K리그</t>
        </is>
      </c>
      <c r="B27" s="480" t="inlineStr">
        <is>
          <t>8월 26일</t>
        </is>
      </c>
      <c r="C27" s="481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2" t="n"/>
      <c r="V27" s="475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  <c r="BT27" s="0" t="n"/>
      <c r="BU27" s="0" t="n"/>
      <c r="BV27" s="0" t="n"/>
      <c r="BW27" s="0" t="n"/>
      <c r="BX27" s="0" t="n"/>
      <c r="BY27" s="0" t="n"/>
      <c r="CB27" s="0" t="n"/>
    </row>
    <row r="28">
      <c r="A28" s="246" t="inlineStr">
        <is>
          <t>K리그</t>
        </is>
      </c>
      <c r="B28" s="480" t="inlineStr">
        <is>
          <t>8월 30일</t>
        </is>
      </c>
      <c r="C28" s="481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2" t="n"/>
      <c r="V28" s="475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  <c r="BT28" s="0" t="n"/>
      <c r="BU28" s="0" t="n"/>
      <c r="BV28" s="0" t="n"/>
      <c r="BW28" s="0" t="n"/>
      <c r="BX28" s="0" t="n"/>
      <c r="BY28" s="0" t="n"/>
      <c r="CB28" s="0" t="n"/>
    </row>
    <row r="29">
      <c r="A29" s="246" t="inlineStr">
        <is>
          <t>K리그</t>
        </is>
      </c>
      <c r="B29" s="480" t="inlineStr">
        <is>
          <t>9월 5일</t>
        </is>
      </c>
      <c r="C29" s="481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2" t="n"/>
      <c r="V29" s="475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  <c r="BT29" s="0" t="n"/>
      <c r="BU29" s="0" t="n"/>
      <c r="BV29" s="0" t="n"/>
      <c r="BW29" s="0" t="n"/>
      <c r="BX29" s="0" t="n"/>
      <c r="BY29" s="0" t="n"/>
      <c r="CB29" s="0" t="n"/>
    </row>
    <row r="30">
      <c r="A30" s="246" t="inlineStr">
        <is>
          <t>K리그</t>
        </is>
      </c>
      <c r="B30" s="480" t="inlineStr">
        <is>
          <t>9월 8일</t>
        </is>
      </c>
      <c r="C30" s="481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  <c r="BT30" s="0" t="n"/>
      <c r="BU30" s="0" t="n"/>
      <c r="BV30" s="0" t="n"/>
      <c r="BW30" s="0" t="n"/>
      <c r="BX30" s="0" t="n"/>
      <c r="BY30" s="0" t="n"/>
      <c r="CB30" s="0" t="n"/>
    </row>
    <row r="31">
      <c r="A31" s="246" t="inlineStr">
        <is>
          <t>K리그</t>
        </is>
      </c>
      <c r="B31" s="480" t="inlineStr">
        <is>
          <t>9월 12일</t>
        </is>
      </c>
      <c r="C31" s="481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2" t="n"/>
      <c r="V31" s="475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  <c r="BT31" s="0" t="n"/>
      <c r="BU31" s="0" t="n"/>
      <c r="BV31" s="0" t="n"/>
      <c r="BW31" s="0" t="n"/>
      <c r="BX31" s="0" t="n"/>
      <c r="BY31" s="0" t="n"/>
      <c r="CB31" s="0" t="n"/>
    </row>
    <row r="32">
      <c r="A32" s="246" t="inlineStr">
        <is>
          <t>K리그</t>
        </is>
      </c>
      <c r="B32" s="480" t="inlineStr">
        <is>
          <t>9월 20일</t>
        </is>
      </c>
      <c r="C32" s="481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2" t="n"/>
      <c r="V32" s="475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  <c r="BT32" s="0" t="n"/>
      <c r="BU32" s="0" t="n"/>
      <c r="BV32" s="0" t="n"/>
      <c r="BW32" s="0" t="n"/>
      <c r="BX32" s="0" t="n"/>
      <c r="BY32" s="0" t="n"/>
      <c r="CB32" s="0" t="n"/>
    </row>
    <row r="33">
      <c r="A33" s="246" t="inlineStr">
        <is>
          <t>K리그</t>
        </is>
      </c>
      <c r="B33" s="480" t="inlineStr">
        <is>
          <t>10월 9일</t>
        </is>
      </c>
      <c r="C33" s="481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  <c r="BT33" s="0" t="n"/>
      <c r="BU33" s="0" t="n"/>
      <c r="BV33" s="0" t="n"/>
      <c r="BW33" s="0" t="n"/>
      <c r="BX33" s="0" t="n"/>
      <c r="BY33" s="0" t="n"/>
      <c r="CB33" s="0" t="n"/>
    </row>
    <row r="34">
      <c r="A34" s="246" t="inlineStr">
        <is>
          <t>K리그</t>
        </is>
      </c>
      <c r="B34" s="480" t="inlineStr">
        <is>
          <t>10월 18일</t>
        </is>
      </c>
      <c r="C34" s="481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  <c r="BT34" s="0" t="n"/>
      <c r="BU34" s="0" t="n"/>
      <c r="BV34" s="0" t="n"/>
      <c r="BW34" s="0" t="n"/>
      <c r="BX34" s="0" t="n"/>
      <c r="BY34" s="0" t="n"/>
      <c r="CB34" s="0" t="n"/>
    </row>
    <row r="35">
      <c r="A35" s="246" t="inlineStr">
        <is>
          <t>K리그</t>
        </is>
      </c>
      <c r="B35" s="480" t="inlineStr">
        <is>
          <t>10월 24일</t>
        </is>
      </c>
      <c r="C35" s="481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2" t="n"/>
      <c r="V35" s="475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  <c r="BT35" s="0" t="n"/>
      <c r="BU35" s="0" t="n"/>
      <c r="BV35" s="0" t="n"/>
      <c r="BW35" s="0" t="n"/>
      <c r="BX35" s="0" t="n"/>
      <c r="BY35" s="0" t="n"/>
      <c r="CB35" s="0" t="n"/>
    </row>
    <row r="36">
      <c r="A36" s="367" t="inlineStr">
        <is>
          <t>K리그</t>
        </is>
      </c>
      <c r="B36" s="487" t="n"/>
      <c r="C36" s="488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9" t="n"/>
      <c r="V36" s="490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  <c r="BT36" s="0" t="n"/>
      <c r="BU36" s="0" t="n"/>
      <c r="BV36" s="0" t="n"/>
      <c r="BW36" s="0" t="n"/>
      <c r="BX36" s="0" t="n"/>
      <c r="BY36" s="0" t="n"/>
      <c r="CB36" s="0" t="n"/>
    </row>
    <row r="37">
      <c r="A37" s="367" t="inlineStr">
        <is>
          <t>K리그</t>
        </is>
      </c>
      <c r="B37" s="487" t="n"/>
      <c r="C37" s="488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9" t="n"/>
      <c r="V37" s="490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  <c r="BT37" s="0" t="n"/>
      <c r="BU37" s="0" t="n"/>
      <c r="BV37" s="0" t="n"/>
      <c r="BW37" s="0" t="n"/>
      <c r="BX37" s="0" t="n"/>
      <c r="BY37" s="0" t="n"/>
      <c r="CB37" s="0" t="n"/>
    </row>
    <row r="38">
      <c r="A38" s="367" t="inlineStr">
        <is>
          <t>K리그</t>
        </is>
      </c>
      <c r="B38" s="487" t="n"/>
      <c r="C38" s="488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7" t="n"/>
      <c r="N38" s="320" t="n"/>
      <c r="O38" s="320" t="n"/>
      <c r="P38" s="368" t="n"/>
      <c r="Q38" s="363" t="n"/>
      <c r="R38" s="320" t="n"/>
      <c r="S38" s="320" t="n"/>
      <c r="T38" s="320" t="n"/>
      <c r="U38" s="489" t="n"/>
      <c r="V38" s="490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  <c r="BT38" s="0" t="n"/>
      <c r="BU38" s="0" t="n"/>
      <c r="BV38" s="0" t="n"/>
      <c r="BW38" s="0" t="n"/>
      <c r="BX38" s="0" t="n"/>
      <c r="BY38" s="0" t="n"/>
      <c r="CB38" s="0" t="n"/>
    </row>
    <row r="39">
      <c r="A39" s="367" t="inlineStr">
        <is>
          <t>K리그</t>
        </is>
      </c>
      <c r="B39" s="487" t="n"/>
      <c r="C39" s="488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8" t="n"/>
      <c r="V39" s="499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  <c r="BT39" s="0" t="n"/>
      <c r="BU39" s="0" t="n"/>
      <c r="BV39" s="0" t="n"/>
      <c r="BW39" s="0" t="n"/>
      <c r="BX39" s="0" t="n"/>
      <c r="BY39" s="0" t="n"/>
      <c r="CB39" s="0" t="n"/>
    </row>
    <row r="40" ht="17.5" customHeight="1" s="470" thickBot="1">
      <c r="A40" s="411" t="inlineStr">
        <is>
          <t>K리그</t>
        </is>
      </c>
      <c r="B40" s="500" t="n"/>
      <c r="C40" s="501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2" t="n"/>
      <c r="V40" s="503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  <c r="BT40" s="0" t="n"/>
      <c r="BU40" s="0" t="n"/>
      <c r="BV40" s="0" t="n"/>
      <c r="BW40" s="0" t="n"/>
      <c r="BX40" s="0" t="n"/>
      <c r="BY40" s="0" t="n"/>
      <c r="CB40" s="0" t="n"/>
    </row>
    <row r="41">
      <c r="A41" s="423" t="inlineStr">
        <is>
          <t>FA컵</t>
        </is>
      </c>
      <c r="B41" s="504" t="inlineStr">
        <is>
          <t>7월29일</t>
        </is>
      </c>
      <c r="C41" s="505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6" t="n">
        <v>3873</v>
      </c>
      <c r="V41" s="507" t="inlineStr">
        <is>
          <t>박진호</t>
        </is>
      </c>
    </row>
    <row r="42">
      <c r="N42" s="0" t="inlineStr">
        <is>
          <t>2026시즌</t>
        </is>
      </c>
      <c r="O42" s="508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9">
        <f>SUMIFS(U3:U41,A3:A41,M44)</f>
        <v/>
      </c>
      <c r="P44" s="509">
        <f>O44/N44</f>
        <v/>
      </c>
      <c r="Q44" s="510" t="n">
        <v>19</v>
      </c>
      <c r="R44" s="510" t="n">
        <v>193302</v>
      </c>
      <c r="S44" s="511" t="n">
        <v>10173.78947368421</v>
      </c>
      <c r="T44" s="512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9">
        <f>SUMIFS(U3:U41,A3:A41,M45)</f>
        <v/>
      </c>
      <c r="P45" s="509">
        <f>O45/N45</f>
        <v/>
      </c>
      <c r="Q45" s="510" t="n">
        <v>2</v>
      </c>
      <c r="R45" s="510" t="n">
        <v>2303</v>
      </c>
      <c r="S45" s="511" t="n">
        <v>1151.5</v>
      </c>
      <c r="T45" s="512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0" min="1" max="1"/>
    <col width="7.33203125" customWidth="1" style="470" min="2" max="2"/>
    <col width="7.83203125" bestFit="1" customWidth="1" style="470" min="3" max="3"/>
    <col width="8.5" bestFit="1" customWidth="1" style="470" min="4" max="4"/>
    <col width="9.08203125" bestFit="1" customWidth="1" style="470" min="5" max="5"/>
    <col width="9.33203125" bestFit="1" customWidth="1" style="470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0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9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9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9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9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9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9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9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9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9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9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9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9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9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3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3" t="n">
        <v>11820</v>
      </c>
      <c r="E57" s="280" t="inlineStr">
        <is>
          <t>승</t>
        </is>
      </c>
    </row>
    <row r="58" hidden="1" s="470">
      <c r="A58" s="399" t="n">
        <v>16</v>
      </c>
      <c r="B58" s="352" t="inlineStr">
        <is>
          <t>서울</t>
        </is>
      </c>
      <c r="C58" s="2" t="n"/>
      <c r="D58" s="509" t="n"/>
      <c r="E58" s="269" t="n"/>
    </row>
    <row r="59" hidden="1" s="470">
      <c r="A59" s="399" t="n">
        <v>17</v>
      </c>
      <c r="B59" s="352" t="inlineStr">
        <is>
          <t>안양</t>
        </is>
      </c>
      <c r="C59" s="2" t="n"/>
      <c r="D59" s="509" t="n"/>
      <c r="E59" s="269" t="n"/>
    </row>
    <row r="60" hidden="1" s="470">
      <c r="A60" s="399" t="n">
        <v>18</v>
      </c>
      <c r="B60" s="352" t="inlineStr">
        <is>
          <t>전북</t>
        </is>
      </c>
      <c r="C60" s="2" t="n"/>
      <c r="D60" s="509" t="n"/>
      <c r="E60" s="269" t="n"/>
    </row>
    <row r="61" hidden="1" s="470">
      <c r="A61" s="399" t="n">
        <v>19</v>
      </c>
      <c r="B61" s="352" t="inlineStr">
        <is>
          <t>울산</t>
        </is>
      </c>
      <c r="C61" s="2" t="n"/>
      <c r="D61" s="509" t="n"/>
      <c r="E61" s="269" t="n"/>
    </row>
    <row r="62" hidden="1" s="470">
      <c r="A62" s="399" t="n">
        <v>20</v>
      </c>
      <c r="B62" s="352" t="inlineStr">
        <is>
          <t>부천</t>
        </is>
      </c>
      <c r="C62" s="2" t="n"/>
      <c r="D62" s="509" t="n"/>
      <c r="E62" s="269" t="n"/>
    </row>
    <row r="63" hidden="1" s="470">
      <c r="A63" s="399" t="n">
        <v>21</v>
      </c>
      <c r="B63" s="352" t="inlineStr">
        <is>
          <t>제주</t>
        </is>
      </c>
      <c r="C63" s="2" t="n"/>
      <c r="D63" s="509" t="n"/>
      <c r="E63" s="269" t="n"/>
    </row>
    <row r="64" hidden="1" s="470">
      <c r="A64" s="415" t="n">
        <v>22</v>
      </c>
      <c r="B64" s="413" t="inlineStr">
        <is>
          <t>강원</t>
        </is>
      </c>
      <c r="C64" s="441" t="n"/>
      <c r="D64" s="513" t="n"/>
      <c r="E64" s="280" t="n"/>
    </row>
    <row r="65" hidden="1" s="470">
      <c r="A65" s="399" t="n">
        <v>23</v>
      </c>
      <c r="B65" s="352" t="inlineStr">
        <is>
          <t>김천</t>
        </is>
      </c>
      <c r="C65" s="2" t="n"/>
      <c r="D65" s="509" t="n"/>
      <c r="E65" s="269" t="n"/>
    </row>
    <row r="66" hidden="1" s="470">
      <c r="A66" s="399" t="n">
        <v>24</v>
      </c>
      <c r="B66" s="352" t="inlineStr">
        <is>
          <t>광주</t>
        </is>
      </c>
      <c r="C66" s="2" t="n"/>
      <c r="D66" s="509" t="n"/>
      <c r="E66" s="269" t="n"/>
    </row>
    <row r="67" hidden="1" s="470">
      <c r="A67" s="399" t="n">
        <v>25</v>
      </c>
      <c r="B67" s="352" t="inlineStr">
        <is>
          <t>안양</t>
        </is>
      </c>
      <c r="C67" s="2" t="n"/>
      <c r="D67" s="509" t="n"/>
      <c r="E67" s="269" t="n"/>
    </row>
    <row r="68" hidden="1" s="470">
      <c r="A68" s="399" t="n">
        <v>26</v>
      </c>
      <c r="B68" s="352" t="inlineStr">
        <is>
          <t>전북</t>
        </is>
      </c>
      <c r="C68" s="2" t="n"/>
      <c r="D68" s="509" t="n"/>
      <c r="E68" s="269" t="n"/>
    </row>
    <row r="69" hidden="1" s="470">
      <c r="A69" s="399" t="n">
        <v>27</v>
      </c>
      <c r="B69" s="352" t="inlineStr">
        <is>
          <t>서울</t>
        </is>
      </c>
      <c r="C69" s="2" t="n"/>
      <c r="D69" s="509" t="n"/>
      <c r="E69" s="269" t="n"/>
    </row>
    <row r="70" hidden="1" s="470">
      <c r="A70" s="399" t="n">
        <v>28</v>
      </c>
      <c r="B70" s="352" t="inlineStr">
        <is>
          <t>부천</t>
        </is>
      </c>
      <c r="C70" s="2" t="n"/>
      <c r="D70" s="509" t="n"/>
      <c r="E70" s="269" t="n"/>
    </row>
    <row r="71" hidden="1" s="470">
      <c r="A71" s="399" t="n">
        <v>29</v>
      </c>
      <c r="B71" s="352" t="inlineStr">
        <is>
          <t>울산</t>
        </is>
      </c>
      <c r="C71" s="2" t="n"/>
      <c r="D71" s="509" t="n"/>
      <c r="E71" s="269" t="n"/>
    </row>
    <row r="72" hidden="1" s="470">
      <c r="A72" s="399" t="n">
        <v>30</v>
      </c>
      <c r="B72" s="352" t="inlineStr">
        <is>
          <t>대전</t>
        </is>
      </c>
      <c r="C72" s="2" t="n"/>
      <c r="D72" s="509" t="n"/>
      <c r="E72" s="269" t="n"/>
    </row>
    <row r="73" hidden="1" s="470">
      <c r="A73" s="399" t="n">
        <v>31</v>
      </c>
      <c r="B73" s="352" t="inlineStr">
        <is>
          <t>포항</t>
        </is>
      </c>
      <c r="C73" s="2" t="n"/>
      <c r="D73" s="509" t="n"/>
      <c r="E73" s="269" t="n"/>
    </row>
    <row r="74" hidden="1" s="470">
      <c r="A74" s="399" t="n">
        <v>32</v>
      </c>
      <c r="B74" s="352" t="inlineStr">
        <is>
          <t>강원</t>
        </is>
      </c>
      <c r="C74" s="2" t="n"/>
      <c r="D74" s="509" t="n"/>
      <c r="E74" s="269" t="n"/>
    </row>
    <row r="75" hidden="1" s="470">
      <c r="A75" s="415" t="n">
        <v>33</v>
      </c>
      <c r="B75" s="413" t="inlineStr">
        <is>
          <t>제주</t>
        </is>
      </c>
      <c r="C75" s="441" t="n"/>
      <c r="D75" s="513" t="n"/>
      <c r="E75" s="280" t="n"/>
    </row>
    <row r="76">
      <c r="A76" s="1" t="n"/>
      <c r="B76" s="1" t="n"/>
      <c r="C76" s="1" t="n"/>
      <c r="D76" s="514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5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5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6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bestFit="1" customWidth="1" style="470" min="16" max="16"/>
    <col width="9.25" bestFit="1" customWidth="1" style="470" min="17" max="17"/>
    <col width="9.33203125" customWidth="1" style="470" min="18" max="18"/>
    <col width="9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9" bestFit="1" customWidth="1" style="470" min="24" max="24"/>
    <col width="5.5" bestFit="1" customWidth="1" style="470" min="25" max="25"/>
    <col width="5.25" bestFit="1" customWidth="1" style="470" min="26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6.08203125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9.25" bestFit="1" customWidth="1" style="470" min="60" max="60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7" t="n">
        <v>45710</v>
      </c>
      <c r="C3" s="518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4" t="n">
        <v>9363</v>
      </c>
      <c r="V3" s="475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9" t="n">
        <v>45717</v>
      </c>
      <c r="C4" s="520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2" t="n">
        <v>18173</v>
      </c>
      <c r="V4" s="475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9" t="n">
        <v>45725</v>
      </c>
      <c r="C5" s="520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2" t="n"/>
      <c r="V5" s="475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9" t="n">
        <v>45731</v>
      </c>
      <c r="C6" s="520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2" t="n">
        <v>9695</v>
      </c>
      <c r="V6" s="475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9" t="n">
        <v>45745</v>
      </c>
      <c r="C7" s="520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>
        <v>8507</v>
      </c>
      <c r="V7" s="475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9" t="n">
        <v>45752</v>
      </c>
      <c r="C8" s="520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2" t="n"/>
      <c r="V8" s="475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9" t="n">
        <v>45760</v>
      </c>
      <c r="C9" s="520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2" t="n">
        <v>5542</v>
      </c>
      <c r="V9" s="475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9" t="n">
        <v>45766</v>
      </c>
      <c r="C10" s="520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2" t="n">
        <v>4637</v>
      </c>
      <c r="V10" s="475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9" t="n">
        <v>45773</v>
      </c>
      <c r="C11" s="520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2" t="n"/>
      <c r="V11" s="475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9" t="n">
        <v>45781</v>
      </c>
      <c r="C12" s="520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2" t="n">
        <v>11792</v>
      </c>
      <c r="V12" s="475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9" t="n">
        <v>45787</v>
      </c>
      <c r="C13" s="520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2" t="n"/>
      <c r="V13" s="475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9" t="n">
        <v>45795</v>
      </c>
      <c r="C14" s="520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2" t="n"/>
      <c r="V14" s="475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9" t="n">
        <v>45802</v>
      </c>
      <c r="C15" s="520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1" t="n">
        <v>12052</v>
      </c>
      <c r="V15" s="522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9" t="n">
        <v>45809</v>
      </c>
      <c r="C16" s="520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3" t="n"/>
      <c r="V16" s="524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9" t="n">
        <v>45816</v>
      </c>
      <c r="C17" s="520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3" t="n">
        <v>11007</v>
      </c>
      <c r="V17" s="524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9" t="n">
        <v>45823</v>
      </c>
      <c r="C18" s="520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3" t="n"/>
      <c r="V18" s="524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9" t="n">
        <v>45829</v>
      </c>
      <c r="C19" s="520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3" t="n">
        <v>9245</v>
      </c>
      <c r="V19" s="524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9" t="n">
        <v>45837</v>
      </c>
      <c r="C20" s="520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3" t="n"/>
      <c r="V20" s="524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9" t="n">
        <v>45843</v>
      </c>
      <c r="C21" s="520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3" t="n"/>
      <c r="V21" s="524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9" t="n">
        <v>45851</v>
      </c>
      <c r="C22" s="520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3" t="n">
        <v>9326</v>
      </c>
      <c r="V22" s="524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0">
      <c r="A23" s="246" t="inlineStr">
        <is>
          <t>K리그</t>
        </is>
      </c>
      <c r="B23" s="519" t="n">
        <v>45858</v>
      </c>
      <c r="C23" s="520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3" t="n"/>
      <c r="V23" s="524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9" t="n">
        <v>45865</v>
      </c>
      <c r="C24" s="520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3" t="n">
        <v>7392</v>
      </c>
      <c r="V24" s="524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9" t="n">
        <v>45871</v>
      </c>
      <c r="C25" s="520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3" t="n"/>
      <c r="V25" s="524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9" t="n">
        <v>45878</v>
      </c>
      <c r="C26" s="520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3" t="n"/>
      <c r="V26" s="524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9" t="n">
        <v>45885</v>
      </c>
      <c r="C27" s="520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3" t="n">
        <v>9352</v>
      </c>
      <c r="V27" s="524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9" t="n">
        <v>45893</v>
      </c>
      <c r="C28" s="520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3" t="n"/>
      <c r="V28" s="524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9" t="n">
        <v>45899</v>
      </c>
      <c r="C29" s="520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2" t="n">
        <v>8441</v>
      </c>
      <c r="V29" s="475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9" t="n">
        <v>45907</v>
      </c>
      <c r="C30" s="520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9" t="n">
        <v>45913</v>
      </c>
      <c r="C31" s="520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2" t="n"/>
      <c r="V31" s="475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9" t="n">
        <v>45920</v>
      </c>
      <c r="C32" s="520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2" t="n">
        <v>10328</v>
      </c>
      <c r="V32" s="475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9" t="n">
        <v>45928</v>
      </c>
      <c r="C33" s="520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9" t="n">
        <v>45934</v>
      </c>
      <c r="C34" s="520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9" t="n">
        <v>45938</v>
      </c>
      <c r="C35" s="520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2" t="n">
        <v>18134</v>
      </c>
      <c r="V35" s="475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9" t="n">
        <v>45942</v>
      </c>
      <c r="C36" s="520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2" t="n"/>
      <c r="V36" s="475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9" t="n">
        <v>45949</v>
      </c>
      <c r="C37" s="520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2" t="n"/>
      <c r="V37" s="475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0" thickBot="1">
      <c r="A38" s="246" t="inlineStr">
        <is>
          <t>K리그</t>
        </is>
      </c>
      <c r="B38" s="519" t="n">
        <v>45956</v>
      </c>
      <c r="C38" s="520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5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2" t="n">
        <v>11156</v>
      </c>
      <c r="V38" s="475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9" t="n">
        <v>45963</v>
      </c>
      <c r="C39" s="520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6" t="n">
        <v>7058</v>
      </c>
      <c r="V39" s="527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9" t="n">
        <v>45969</v>
      </c>
      <c r="C40" s="520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8" t="n"/>
      <c r="V40" s="475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0" thickBot="1">
      <c r="A41" s="383" t="inlineStr">
        <is>
          <t>K리그</t>
        </is>
      </c>
      <c r="B41" s="529" t="n">
        <v>45984</v>
      </c>
      <c r="C41" s="530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1" t="n">
        <v>12102</v>
      </c>
      <c r="V41" s="532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3" t="n">
        <v>45739</v>
      </c>
      <c r="C42" s="534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5" t="n"/>
      <c r="V42" s="536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9" t="n">
        <v>45763</v>
      </c>
      <c r="C43" s="520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7" t="n">
        <v>2303</v>
      </c>
      <c r="V43" s="490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9" t="n">
        <v>45791</v>
      </c>
      <c r="C44" s="520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7" t="n"/>
      <c r="V44" s="490" t="inlineStr">
        <is>
          <t>박진호</t>
        </is>
      </c>
    </row>
    <row r="45">
      <c r="A45" s="110" t="inlineStr">
        <is>
          <t>FA컵</t>
        </is>
      </c>
      <c r="B45" s="519" t="n"/>
      <c r="C45" s="520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7" t="n"/>
      <c r="V45" s="490" t="n"/>
    </row>
    <row r="46" ht="17.5" customHeight="1" s="470" thickBot="1">
      <c r="A46" s="100" t="inlineStr">
        <is>
          <t>FA컵</t>
        </is>
      </c>
      <c r="B46" s="529" t="n"/>
      <c r="C46" s="530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8" t="n"/>
      <c r="V46" s="539" t="n"/>
    </row>
    <row r="47">
      <c r="N47" s="0" t="inlineStr">
        <is>
          <t>2025시즌</t>
        </is>
      </c>
      <c r="O47" s="508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9">
        <f>SUMIFS(U3:U46,A3:A46,M49)</f>
        <v/>
      </c>
      <c r="P49" s="509">
        <f>O49/N49</f>
        <v/>
      </c>
      <c r="Q49" s="510" t="n">
        <v>19</v>
      </c>
      <c r="R49" s="510" t="n">
        <v>208045</v>
      </c>
      <c r="S49" s="511" t="n">
        <v>10949.73684210526</v>
      </c>
      <c r="T49" s="512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9">
        <f>SUMIFS(U3:U46,A3:A46,M50)</f>
        <v/>
      </c>
      <c r="P50" s="509">
        <f>O50/N50</f>
        <v/>
      </c>
      <c r="Q50" s="510" t="n">
        <v>2</v>
      </c>
      <c r="R50" s="510" t="n">
        <v>4421</v>
      </c>
      <c r="S50" s="511" t="n">
        <v>2210.5</v>
      </c>
      <c r="T50" s="512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0">
        <f>SUM(O49:O50)</f>
        <v/>
      </c>
      <c r="P51" s="541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0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0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0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0" min="12" max="18"/>
    <col width="11.58203125" customWidth="1" style="470" min="19" max="19"/>
    <col width="7.08203125" customWidth="1" style="470" min="20" max="20"/>
    <col width="8.83203125" customWidth="1" style="470" min="21" max="21"/>
    <col width="10" bestFit="1" customWidth="1" style="470" min="22" max="22"/>
    <col width="12.58203125" bestFit="1" customWidth="1" style="470" min="23" max="23"/>
    <col width="11" bestFit="1" customWidth="1" style="470" min="24" max="24"/>
    <col width="5.58203125" bestFit="1" customWidth="1" style="470" min="25" max="30"/>
    <col width="5.5" customWidth="1" style="470" min="31" max="33"/>
    <col width="9.25" bestFit="1" customWidth="1" style="470" min="34" max="34"/>
    <col width="8.25" bestFit="1" customWidth="1" style="470" min="35" max="35"/>
    <col width="9.25" bestFit="1" customWidth="1" style="470" min="36" max="36"/>
    <col width="5.58203125" bestFit="1" customWidth="1" style="470" min="37" max="37"/>
    <col width="3.75" bestFit="1" customWidth="1" style="470" min="38" max="38"/>
    <col width="4" bestFit="1" customWidth="1" style="470" min="39" max="39"/>
    <col width="3.75" bestFit="1" customWidth="1" style="470" min="40" max="40"/>
    <col width="6.08203125" bestFit="1" customWidth="1" style="470" min="41" max="41"/>
    <col hidden="1" width="8.58203125" customWidth="1" style="470" min="42" max="42"/>
    <col width="9.08203125" bestFit="1" customWidth="1" style="470" min="43" max="48"/>
    <col width="9.08203125" bestFit="1" customWidth="1" style="470" min="51" max="51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2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3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4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5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4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5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4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5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4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5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4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5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4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5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4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5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4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5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4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5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4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5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6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7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6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8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6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7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6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7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6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7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6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7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6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7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6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7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6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7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6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7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6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7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4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5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4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5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4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5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4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5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4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5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4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7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4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5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4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5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4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5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4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5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4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5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6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7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6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7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6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9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7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6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0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0" thickBot="1">
      <c r="A40" s="236" t="inlineStr">
        <is>
          <t>K리그</t>
        </is>
      </c>
      <c r="B40" s="551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2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0" thickBot="1">
      <c r="A41" s="98" t="inlineStr">
        <is>
          <t>FA컵</t>
        </is>
      </c>
      <c r="B41" s="553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4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3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4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0" thickBot="1">
      <c r="A43" s="110" t="inlineStr">
        <is>
          <t>FA컵</t>
        </is>
      </c>
      <c r="B43" s="555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6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5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6" t="n"/>
    </row>
    <row r="45">
      <c r="A45" s="110" t="inlineStr">
        <is>
          <t>FA컵</t>
        </is>
      </c>
      <c r="B45" s="555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6" t="n"/>
    </row>
    <row r="46" ht="17.5" customHeight="1" s="470" thickBot="1">
      <c r="A46" s="100" t="inlineStr">
        <is>
          <t>FA컵</t>
        </is>
      </c>
      <c r="B46" s="557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8" t="n"/>
    </row>
    <row r="47">
      <c r="M47" s="0" t="inlineStr">
        <is>
          <t>2024시즌</t>
        </is>
      </c>
      <c r="N47" s="508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9">
        <f>SUMIFS(V3:V46,A3:A46,L49)</f>
        <v/>
      </c>
      <c r="O49" s="509">
        <f>N49/M49</f>
        <v/>
      </c>
      <c r="P49" s="510" t="n">
        <v>19</v>
      </c>
      <c r="Q49" s="510" t="n">
        <v>169826</v>
      </c>
      <c r="R49" s="511">
        <f>Q49/19</f>
        <v/>
      </c>
      <c r="S49" s="512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9">
        <f>SUMIFS(V3:V46,A3:A46,L50)</f>
        <v/>
      </c>
      <c r="O50" s="509">
        <f>N50/M50</f>
        <v/>
      </c>
      <c r="P50" s="510" t="n">
        <v>2</v>
      </c>
      <c r="Q50" s="510" t="n">
        <v>5581</v>
      </c>
      <c r="R50" s="511">
        <f>Q50/2</f>
        <v/>
      </c>
      <c r="S50" s="512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9">
        <f>SUM(N49:N50)</f>
        <v/>
      </c>
      <c r="O51" s="560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0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0" min="1" max="1"/>
    <col width="10.83203125" bestFit="1" customWidth="1" style="470" min="2" max="2"/>
    <col width="6.75" bestFit="1" customWidth="1" style="470" min="3" max="3"/>
    <col width="10.5" bestFit="1" customWidth="1" style="470" min="4" max="4"/>
    <col width="8.58203125" bestFit="1" customWidth="1" style="470" min="5" max="5"/>
    <col width="15.33203125" bestFit="1" customWidth="1" style="470" min="6" max="6"/>
    <col width="9.33203125" bestFit="1" customWidth="1" style="470" min="7" max="7"/>
    <col width="10.83203125" bestFit="1" customWidth="1" style="470" min="10" max="10"/>
  </cols>
  <sheetData>
    <row r="2">
      <c r="A2" s="559" t="inlineStr">
        <is>
          <t>시즌</t>
        </is>
      </c>
      <c r="B2" s="559" t="inlineStr">
        <is>
          <t>총관중수</t>
        </is>
      </c>
      <c r="C2" s="559" t="inlineStr">
        <is>
          <t>경기</t>
        </is>
      </c>
      <c r="D2" s="559" t="inlineStr">
        <is>
          <t>평균관중</t>
        </is>
      </c>
      <c r="E2" s="559" t="inlineStr">
        <is>
          <t>경기장</t>
        </is>
      </c>
      <c r="F2" s="559" t="inlineStr">
        <is>
          <t>비고</t>
        </is>
      </c>
    </row>
    <row r="3">
      <c r="A3" s="222" t="n">
        <v>2004</v>
      </c>
      <c r="B3" s="561" t="n">
        <v>142821</v>
      </c>
      <c r="C3" s="217" t="n">
        <v>12</v>
      </c>
      <c r="D3" s="562" t="n">
        <v>11902</v>
      </c>
      <c r="E3" s="563" t="inlineStr">
        <is>
          <t>문학</t>
        </is>
      </c>
      <c r="F3" s="509" t="n"/>
      <c r="G3" s="508" t="n"/>
      <c r="H3" s="561" t="n"/>
      <c r="I3" s="508" t="n"/>
      <c r="J3" s="508" t="n"/>
    </row>
    <row r="4">
      <c r="A4" s="222" t="n">
        <v>2005</v>
      </c>
      <c r="B4" s="561" t="n">
        <v>316591</v>
      </c>
      <c r="C4" s="217" t="n">
        <v>13</v>
      </c>
      <c r="D4" s="562" t="n">
        <v>24353</v>
      </c>
      <c r="E4" s="563" t="inlineStr">
        <is>
          <t>문학</t>
        </is>
      </c>
      <c r="F4" s="509" t="n"/>
      <c r="G4" s="508" t="n"/>
      <c r="H4" s="561" t="n"/>
      <c r="I4" s="508" t="n"/>
      <c r="J4" s="508" t="n"/>
    </row>
    <row r="5">
      <c r="A5" s="222" t="n">
        <v>2006</v>
      </c>
      <c r="B5" s="561" t="n">
        <v>149559</v>
      </c>
      <c r="C5" s="217" t="n">
        <v>13</v>
      </c>
      <c r="D5" s="562" t="n">
        <v>11505</v>
      </c>
      <c r="E5" s="563" t="inlineStr">
        <is>
          <t>문학</t>
        </is>
      </c>
      <c r="F5" s="509" t="n"/>
      <c r="G5" s="508" t="n"/>
      <c r="H5" s="561" t="n"/>
      <c r="I5" s="508" t="n"/>
      <c r="J5" s="508" t="n"/>
    </row>
    <row r="6">
      <c r="A6" s="222" t="n">
        <v>2007</v>
      </c>
      <c r="B6" s="561" t="n">
        <v>216728</v>
      </c>
      <c r="C6" s="217" t="n">
        <v>13</v>
      </c>
      <c r="D6" s="562" t="n">
        <v>16671</v>
      </c>
      <c r="E6" s="563" t="inlineStr">
        <is>
          <t>문학</t>
        </is>
      </c>
      <c r="F6" s="509" t="n"/>
      <c r="G6" s="508" t="n"/>
      <c r="H6" s="561" t="n"/>
      <c r="I6" s="508" t="n"/>
      <c r="J6" s="564" t="n"/>
    </row>
    <row r="7">
      <c r="A7" s="222" t="n">
        <v>2008</v>
      </c>
      <c r="B7" s="561" t="n">
        <v>175023</v>
      </c>
      <c r="C7" s="217" t="n">
        <v>13</v>
      </c>
      <c r="D7" s="562" t="n">
        <v>13463</v>
      </c>
      <c r="E7" s="563" t="inlineStr">
        <is>
          <t>문학</t>
        </is>
      </c>
      <c r="F7" s="509" t="n"/>
      <c r="G7" s="508" t="n"/>
      <c r="H7" s="561" t="n"/>
      <c r="I7" s="508" t="n"/>
      <c r="J7" s="508" t="n"/>
    </row>
    <row r="8">
      <c r="A8" s="222" t="n">
        <v>2009</v>
      </c>
      <c r="B8" s="561" t="n">
        <v>146985</v>
      </c>
      <c r="C8" s="217" t="n">
        <v>14</v>
      </c>
      <c r="D8" s="562" t="n">
        <v>10499</v>
      </c>
      <c r="E8" s="563" t="inlineStr">
        <is>
          <t>문학</t>
        </is>
      </c>
      <c r="F8" s="509" t="n"/>
      <c r="G8" s="508" t="n"/>
      <c r="H8" s="561" t="n"/>
      <c r="I8" s="508" t="n"/>
      <c r="J8" s="565" t="n"/>
    </row>
    <row r="9">
      <c r="A9" s="222" t="n">
        <v>2010</v>
      </c>
      <c r="B9" s="561" t="n">
        <v>119990</v>
      </c>
      <c r="C9" s="217" t="n">
        <v>14</v>
      </c>
      <c r="D9" s="566" t="n">
        <v>8571</v>
      </c>
      <c r="E9" s="563" t="inlineStr">
        <is>
          <t>문학</t>
        </is>
      </c>
      <c r="F9" s="509" t="n"/>
      <c r="H9" s="561" t="n"/>
      <c r="I9" s="508" t="n"/>
      <c r="J9" s="564" t="n"/>
    </row>
    <row r="10">
      <c r="A10" s="222" t="n">
        <v>2011</v>
      </c>
      <c r="B10" s="561" t="n">
        <v>113432</v>
      </c>
      <c r="C10" s="217" t="n">
        <v>15</v>
      </c>
      <c r="D10" s="566" t="n">
        <v>7562</v>
      </c>
      <c r="E10" s="563" t="inlineStr">
        <is>
          <t>문학</t>
        </is>
      </c>
      <c r="F10" s="509" t="n"/>
    </row>
    <row r="11">
      <c r="A11" s="222" t="n">
        <v>2012</v>
      </c>
      <c r="B11" s="561" t="n">
        <v>82549</v>
      </c>
      <c r="C11" s="217" t="n">
        <v>22</v>
      </c>
      <c r="D11" s="566" t="n">
        <v>3752</v>
      </c>
      <c r="E11" s="567" t="inlineStr">
        <is>
          <t>숭의</t>
        </is>
      </c>
      <c r="F11" s="509" t="n"/>
    </row>
    <row r="12">
      <c r="A12" s="222" t="n">
        <v>2013</v>
      </c>
      <c r="B12" s="561" t="n">
        <v>134472</v>
      </c>
      <c r="C12" s="217" t="n">
        <v>19</v>
      </c>
      <c r="D12" s="566" t="n">
        <v>7077</v>
      </c>
      <c r="E12" s="567" t="inlineStr">
        <is>
          <t>숭의</t>
        </is>
      </c>
      <c r="F12" s="509" t="n"/>
    </row>
    <row r="13">
      <c r="A13" s="222" t="n">
        <v>2014</v>
      </c>
      <c r="B13" s="561" t="n">
        <v>86815</v>
      </c>
      <c r="C13" s="217" t="n">
        <v>19</v>
      </c>
      <c r="D13" s="566" t="n">
        <v>4569</v>
      </c>
      <c r="E13" s="567" t="inlineStr">
        <is>
          <t>숭의</t>
        </is>
      </c>
      <c r="F13" s="509" t="n"/>
    </row>
    <row r="14">
      <c r="A14" s="222" t="n">
        <v>2015</v>
      </c>
      <c r="B14" s="561" t="n">
        <v>97250</v>
      </c>
      <c r="C14" s="217" t="n">
        <v>20</v>
      </c>
      <c r="D14" s="566" t="n">
        <v>4863</v>
      </c>
      <c r="E14" s="567" t="inlineStr">
        <is>
          <t>숭의</t>
        </is>
      </c>
      <c r="F14" s="509" t="n"/>
    </row>
    <row r="15">
      <c r="A15" s="222" t="n">
        <v>2016</v>
      </c>
      <c r="B15" s="561" t="n">
        <v>121068</v>
      </c>
      <c r="C15" s="217" t="n">
        <v>20</v>
      </c>
      <c r="D15" s="566" t="n">
        <v>6053</v>
      </c>
      <c r="E15" s="567" t="inlineStr">
        <is>
          <t>숭의</t>
        </is>
      </c>
      <c r="F15" s="509" t="n"/>
    </row>
    <row r="16">
      <c r="A16" s="222" t="n">
        <v>2017</v>
      </c>
      <c r="B16" s="561" t="n">
        <v>70025</v>
      </c>
      <c r="C16" s="217" t="n">
        <v>19</v>
      </c>
      <c r="D16" s="566" t="n">
        <v>3686</v>
      </c>
      <c r="E16" s="567" t="inlineStr">
        <is>
          <t>숭의</t>
        </is>
      </c>
      <c r="F16" s="509" t="n"/>
    </row>
    <row r="17">
      <c r="A17" s="222" t="n">
        <v>2018</v>
      </c>
      <c r="B17" s="561" t="n">
        <v>84151</v>
      </c>
      <c r="C17" s="217" t="n">
        <v>19</v>
      </c>
      <c r="D17" s="566" t="n">
        <v>4429</v>
      </c>
      <c r="E17" s="567" t="inlineStr">
        <is>
          <t>숭의</t>
        </is>
      </c>
      <c r="F17" s="568" t="inlineStr">
        <is>
          <t>유료관중 집계</t>
        </is>
      </c>
    </row>
    <row r="18">
      <c r="A18" s="222" t="n">
        <v>2019</v>
      </c>
      <c r="B18" s="561" t="n">
        <v>161593</v>
      </c>
      <c r="C18" s="217" t="n">
        <v>19</v>
      </c>
      <c r="D18" s="566" t="n">
        <v>8505</v>
      </c>
      <c r="E18" s="567" t="inlineStr">
        <is>
          <t>숭의</t>
        </is>
      </c>
      <c r="F18" s="569" t="n"/>
    </row>
    <row r="19">
      <c r="A19" s="222" t="n">
        <v>2020</v>
      </c>
      <c r="B19" s="561" t="n">
        <v>6849</v>
      </c>
      <c r="C19" s="217" t="n">
        <v>13</v>
      </c>
      <c r="D19" s="566" t="n">
        <v>527</v>
      </c>
      <c r="E19" s="567" t="inlineStr">
        <is>
          <t>숭의</t>
        </is>
      </c>
      <c r="F19" s="569" t="inlineStr">
        <is>
          <t>코로나</t>
        </is>
      </c>
    </row>
    <row r="20">
      <c r="A20" s="222" t="n">
        <v>2021</v>
      </c>
      <c r="B20" s="561" t="n">
        <v>24925</v>
      </c>
      <c r="C20" s="217" t="n">
        <v>19</v>
      </c>
      <c r="D20" s="566" t="n">
        <v>1312</v>
      </c>
      <c r="E20" s="567" t="inlineStr">
        <is>
          <t>숭의</t>
        </is>
      </c>
      <c r="F20" s="569" t="inlineStr">
        <is>
          <t>코로나</t>
        </is>
      </c>
    </row>
    <row r="21">
      <c r="A21" s="222" t="n">
        <v>2022</v>
      </c>
      <c r="B21" s="561" t="n">
        <v>99968</v>
      </c>
      <c r="C21" s="217" t="n">
        <v>19</v>
      </c>
      <c r="D21" s="566" t="n">
        <v>5261</v>
      </c>
      <c r="E21" s="567" t="inlineStr">
        <is>
          <t>숭의</t>
        </is>
      </c>
      <c r="F21" s="509" t="n"/>
    </row>
    <row r="22">
      <c r="A22" s="222" t="n">
        <v>2023</v>
      </c>
      <c r="B22" s="561" t="n">
        <v>169826</v>
      </c>
      <c r="C22" s="217" t="n">
        <v>19</v>
      </c>
      <c r="D22" s="566" t="n">
        <v>8938</v>
      </c>
      <c r="E22" s="567" t="inlineStr">
        <is>
          <t>숭의</t>
        </is>
      </c>
      <c r="F22" s="509" t="n"/>
    </row>
    <row r="23">
      <c r="A23" s="222" t="n">
        <v>2024</v>
      </c>
      <c r="B23" s="561">
        <f>185155+8257</f>
        <v/>
      </c>
      <c r="C23" s="217" t="n">
        <v>18</v>
      </c>
      <c r="D23" s="570">
        <f>B23/C23</f>
        <v/>
      </c>
      <c r="E23" s="567" t="inlineStr">
        <is>
          <t>숭의</t>
        </is>
      </c>
      <c r="F23" s="568" t="inlineStr">
        <is>
          <t>잔여홈1경기</t>
        </is>
      </c>
    </row>
    <row r="24">
      <c r="B24" s="508" t="n"/>
    </row>
    <row r="25">
      <c r="B25" s="565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0" min="13" max="13"/>
    <col width="5.5" bestFit="1" customWidth="1" style="470" min="14" max="14"/>
    <col width="4" bestFit="1" customWidth="1" style="470" min="15" max="17"/>
    <col width="5.5" bestFit="1" customWidth="1" style="470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0" min="12" max="18"/>
    <col width="7.08203125" customWidth="1" style="470" min="19" max="20"/>
    <col width="8.83203125" customWidth="1" style="470" min="21" max="21"/>
    <col width="9.83203125" bestFit="1" customWidth="1" style="470" min="22" max="22"/>
    <col width="12.58203125" bestFit="1" customWidth="1" style="470" min="23" max="23"/>
    <col width="11" bestFit="1" customWidth="1" style="470" min="24" max="24"/>
    <col width="5.5" bestFit="1" customWidth="1" style="470" min="25" max="27"/>
    <col width="9.25" bestFit="1" customWidth="1" style="470" min="28" max="28"/>
    <col width="8.25" bestFit="1" customWidth="1" style="470" min="29" max="29"/>
    <col width="9.25" bestFit="1" customWidth="1" style="470" min="30" max="30"/>
    <col width="5.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hidden="1" width="8.58203125" customWidth="1" style="470" min="36" max="36"/>
  </cols>
  <sheetData>
    <row r="1" ht="17.5" customHeight="1" s="470" thickBot="1"/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2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4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1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4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1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4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4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1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4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4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4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1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4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1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4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4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1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6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6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2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6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4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6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6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6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4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6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6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4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6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4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6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6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4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1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4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4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4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1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4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1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4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4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1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4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1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4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4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1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4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6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6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6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3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4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6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4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0" thickBot="1">
      <c r="A40" s="100" t="inlineStr">
        <is>
          <t>K리그</t>
        </is>
      </c>
      <c r="B40" s="574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5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6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7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7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8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7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8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7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7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8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0" thickBot="1">
      <c r="A47" s="100" t="inlineStr">
        <is>
          <t>ACL</t>
        </is>
      </c>
      <c r="B47" s="579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3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0" t="n">
        <v>2460</v>
      </c>
    </row>
    <row r="49">
      <c r="A49" s="110" t="inlineStr">
        <is>
          <t>FA컵</t>
        </is>
      </c>
      <c r="B49" s="581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2" t="n">
        <v>3121</v>
      </c>
    </row>
    <row r="50" ht="17.5" customHeight="1" s="470" thickBot="1">
      <c r="A50" s="100" t="inlineStr">
        <is>
          <t>FA컵</t>
        </is>
      </c>
      <c r="B50" s="557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9">
        <f>SUMIFS(V3:V50,A3:A50,L53)</f>
        <v/>
      </c>
      <c r="O53" s="583">
        <f>N53/M53</f>
        <v/>
      </c>
      <c r="P53" s="510" t="n">
        <v>99968</v>
      </c>
      <c r="Q53" s="511">
        <f>P53/M53</f>
        <v/>
      </c>
      <c r="R53" s="584">
        <f>(N53-P53)/N53</f>
        <v/>
      </c>
      <c r="S53" s="585" t="n"/>
    </row>
    <row r="54">
      <c r="L54" s="132" t="inlineStr">
        <is>
          <t>ACL</t>
        </is>
      </c>
      <c r="M54" s="132" t="n">
        <v>4</v>
      </c>
      <c r="N54" s="586">
        <f>SUMIFS(V4:V51,A4:A51,L54)</f>
        <v/>
      </c>
      <c r="O54" s="587">
        <f>N54/M54</f>
        <v/>
      </c>
    </row>
    <row r="55">
      <c r="L55" s="2" t="inlineStr">
        <is>
          <t>FA컵</t>
        </is>
      </c>
      <c r="M55" s="2" t="n">
        <v>2</v>
      </c>
      <c r="N55" s="509">
        <f>SUMIFS(V3:V50,A3:A50,L55)</f>
        <v/>
      </c>
      <c r="O55" s="583">
        <f>N55/M55</f>
        <v/>
      </c>
    </row>
    <row r="56">
      <c r="L56" s="4" t="inlineStr">
        <is>
          <t>총합</t>
        </is>
      </c>
      <c r="M56" s="4">
        <f>SUM(M53:M55)</f>
        <v/>
      </c>
      <c r="N56" s="559">
        <f>SUM(N53:N55)</f>
        <v/>
      </c>
      <c r="O56" s="560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0" min="11" max="12"/>
    <col width="7.08203125" bestFit="1" customWidth="1" style="470" min="13" max="13"/>
    <col width="11" bestFit="1" customWidth="1" style="470" min="14" max="15"/>
    <col width="7.08203125" bestFit="1" customWidth="1" style="470" min="16" max="16"/>
    <col width="3.25" bestFit="1" customWidth="1" style="470" min="17" max="17"/>
    <col width="3.33203125" bestFit="1" customWidth="1" style="470" min="18" max="18"/>
    <col width="11" bestFit="1" customWidth="1" style="470" min="19" max="19"/>
    <col width="5.5" bestFit="1" customWidth="1" style="470" min="20" max="22"/>
    <col width="9.25" bestFit="1" customWidth="1" style="470" min="23" max="23"/>
    <col width="8.25" bestFit="1" customWidth="1" style="470" min="24" max="24"/>
    <col width="9.25" bestFit="1" customWidth="1" style="470" min="25" max="25"/>
    <col width="5.5" bestFit="1" customWidth="1" style="470" min="26" max="26"/>
    <col width="3.25" bestFit="1" customWidth="1" style="470" min="27" max="28"/>
    <col width="3.58203125" bestFit="1" customWidth="1" style="470" min="29" max="29"/>
    <col width="6" bestFit="1" customWidth="1" style="470" min="30" max="30"/>
    <col hidden="1" width="8.58203125" customWidth="1" style="470" min="31" max="31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8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8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8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8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8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8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8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8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8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8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8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9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9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9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9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9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9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9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9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9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9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9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8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8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8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8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8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8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8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8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8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8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8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0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0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0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9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0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0" thickBot="1">
      <c r="A40" s="591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0" min="11" max="11"/>
    <col width="10" customWidth="1" style="470" min="12" max="12"/>
    <col width="11" bestFit="1" customWidth="1" style="470" min="13" max="14"/>
    <col width="6.58203125" bestFit="1" customWidth="1" style="470" min="15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8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8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0" min="11" max="11"/>
    <col width="10" customWidth="1" style="470" min="12" max="12"/>
    <col width="11" bestFit="1" customWidth="1" style="470" min="13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8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8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0" min="11" max="13"/>
    <col width="6.58203125" bestFit="1" customWidth="1" style="470" min="14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7.33203125" bestFit="1" customWidth="1" style="470" min="24" max="24"/>
    <col width="3.5" customWidth="1" style="470" min="25" max="25"/>
    <col width="11" bestFit="1" customWidth="1" style="470" min="26" max="26"/>
    <col width="5.5" bestFit="1" customWidth="1" style="470" min="27" max="27"/>
    <col width="9.25" bestFit="1" customWidth="1" style="470" min="28" max="28"/>
    <col width="8.25" bestFit="1" customWidth="1" style="470" min="29" max="29"/>
    <col width="9.25" bestFit="1" customWidth="1" style="470" min="30" max="30"/>
    <col width="3.5820312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width="8.58203125" bestFit="1" customWidth="1" style="470" min="36" max="36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8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8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8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8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8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8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8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8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8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8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8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9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9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9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9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9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9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9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9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9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9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9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8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8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8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8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8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8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8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8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8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8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8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0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0" thickBot="1">
      <c r="A37" s="590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0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9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0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0" thickBot="1">
      <c r="A40" s="591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0" min="9" max="9"/>
    <col width="7" customWidth="1" style="470" min="10" max="10"/>
    <col width="11.25" bestFit="1" customWidth="1" style="470" min="11" max="11"/>
    <col width="5" bestFit="1" customWidth="1" style="470" min="12" max="12"/>
    <col width="3.25" bestFit="1" customWidth="1" style="470" min="13" max="14"/>
    <col width="3.33203125" bestFit="1" customWidth="1" style="470" min="15" max="15"/>
    <col width="5" bestFit="1" customWidth="1" style="470" min="16" max="16"/>
    <col width="6.75" bestFit="1" customWidth="1" style="470" min="17" max="17"/>
    <col width="9.25" bestFit="1" customWidth="1" style="470" min="18" max="18"/>
    <col width="5.5" bestFit="1" customWidth="1" style="470" min="19" max="20"/>
    <col width="4.75" customWidth="1" style="470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2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2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2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2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2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2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2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2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2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2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2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2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2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2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2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2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2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2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2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2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2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2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2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2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2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2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2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2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2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2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2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2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2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2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2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3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2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2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2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0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2026-08-07T04:21:37Z</dcterms:modified>
  <cp:lastModifiedBy>이 현우</cp:lastModifiedBy>
</cp:coreProperties>
</file>