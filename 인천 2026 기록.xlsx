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72" fontId="0" fillId="27" borderId="1" applyAlignment="1" pivotButton="0" quotePrefix="0" xfId="0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4" min="13" max="13"/>
    <col width="9.25" bestFit="1" customWidth="1" style="474" min="14" max="14"/>
    <col width="10.5" bestFit="1" customWidth="1" style="474" min="15" max="15"/>
    <col width="9" customWidth="1" style="474" min="16" max="16"/>
    <col width="9.25" bestFit="1" customWidth="1" style="474" min="17" max="17"/>
    <col width="9.33203125" customWidth="1" style="474" min="18" max="18"/>
    <col width="9.25" bestFit="1" customWidth="1" style="474" min="19" max="19"/>
    <col width="10.75" customWidth="1" style="474" min="20" max="20"/>
    <col width="8.33203125" customWidth="1" style="474" min="21" max="21"/>
    <col width="8.58203125" bestFit="1" customWidth="1" style="474" min="22" max="22"/>
    <col width="10" customWidth="1" style="474" min="23" max="23"/>
    <col width="11.58203125" bestFit="1" customWidth="1" style="474" min="24" max="24"/>
    <col width="5.5" bestFit="1" customWidth="1" style="474" min="25" max="25"/>
    <col width="5.25" bestFit="1" customWidth="1" style="474" min="26" max="30"/>
    <col hidden="1" width="5.25" customWidth="1" style="474" min="31" max="36"/>
    <col width="5.25" bestFit="1" customWidth="1" style="474" min="37" max="37"/>
    <col width="6.33203125" bestFit="1" customWidth="1" style="474" min="38" max="38"/>
    <col width="9" bestFit="1" customWidth="1" style="474" min="39" max="39"/>
    <col width="5.5" bestFit="1" customWidth="1" style="474" min="40" max="40"/>
    <col width="4" bestFit="1" customWidth="1" style="474" min="41" max="41"/>
    <col width="3.58203125" bestFit="1" customWidth="1" style="474" min="42" max="43"/>
    <col width="5.5" bestFit="1" customWidth="1" style="474" min="44" max="44"/>
    <col width="8" bestFit="1" customWidth="1" style="474" min="45" max="45"/>
    <col width="5.5" bestFit="1" customWidth="1" style="474" min="46" max="48"/>
    <col width="9.83203125" customWidth="1" style="474" min="49" max="51"/>
    <col width="9.08203125" bestFit="1" customWidth="1" style="474" min="52" max="52"/>
    <col width="7.08203125" bestFit="1" customWidth="1" style="474" min="53" max="53"/>
    <col width="5.5" bestFit="1" customWidth="1" style="474" min="54" max="54"/>
    <col width="4" bestFit="1" customWidth="1" style="474" min="55" max="55"/>
    <col width="3.58203125" bestFit="1" customWidth="1" style="474" min="56" max="57"/>
    <col width="5.5" bestFit="1" customWidth="1" style="474" min="58" max="58"/>
    <col width="6.75" bestFit="1" customWidth="1" style="474" min="59" max="59"/>
    <col width="5" customWidth="1" style="474" min="61" max="61"/>
    <col width="8" customWidth="1" style="474" min="62" max="62"/>
    <col width="6" customWidth="1" style="474" min="63" max="63"/>
    <col width="5" customWidth="1" style="474" min="64" max="66"/>
    <col width="6" customWidth="1" style="474" min="67" max="70"/>
  </cols>
  <sheetData>
    <row r="1" ht="22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5" t="inlineStr">
        <is>
          <t>K리그1 2026 리그순위   (2026-08-15 - 23R 진행 중)</t>
        </is>
      </c>
    </row>
    <row r="2" ht="17.5" customHeight="1" s="474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77" t="inlineStr">
        <is>
          <t>2월 28일</t>
        </is>
      </c>
      <c r="C3" s="478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9" t="n">
        <v>18108</v>
      </c>
      <c r="V3" s="480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1">
        <f>IFERROR(AR3/AN3,0)</f>
        <v/>
      </c>
      <c r="AX3" s="481">
        <f>IFERROR(AT3/AN3,0)</f>
        <v/>
      </c>
      <c r="AY3" s="481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69" t="n">
        <v>1</v>
      </c>
      <c r="BJ3" s="469" t="inlineStr">
        <is>
          <t>서울</t>
        </is>
      </c>
      <c r="BK3" s="469" t="n">
        <v>23</v>
      </c>
      <c r="BL3" s="469" t="n">
        <v>14</v>
      </c>
      <c r="BM3" s="469" t="n">
        <v>5</v>
      </c>
      <c r="BN3" s="469" t="n">
        <v>4</v>
      </c>
      <c r="BO3" s="469" t="n">
        <v>39</v>
      </c>
      <c r="BP3" s="469" t="n">
        <v>19</v>
      </c>
      <c r="BQ3" s="469">
        <f>BO3-BP3</f>
        <v/>
      </c>
      <c r="BR3" s="469" t="n">
        <v>47</v>
      </c>
    </row>
    <row r="4">
      <c r="A4" s="246" t="inlineStr">
        <is>
          <t>K리그</t>
        </is>
      </c>
      <c r="B4" s="482" t="inlineStr">
        <is>
          <t>3월 7일</t>
        </is>
      </c>
      <c r="C4" s="483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4" t="n"/>
      <c r="V4" s="480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1">
        <f>IFERROR(AR4/AN4,0)</f>
        <v/>
      </c>
      <c r="AX4" s="481">
        <f>IFERROR(AT4/AN4,0)</f>
        <v/>
      </c>
      <c r="AY4" s="481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70" t="n">
        <v>2</v>
      </c>
      <c r="BJ4" s="470" t="inlineStr">
        <is>
          <t>울산</t>
        </is>
      </c>
      <c r="BK4" s="470" t="n">
        <v>22</v>
      </c>
      <c r="BL4" s="470" t="n">
        <v>11</v>
      </c>
      <c r="BM4" s="470" t="n">
        <v>4</v>
      </c>
      <c r="BN4" s="470" t="n">
        <v>7</v>
      </c>
      <c r="BO4" s="470" t="n">
        <v>35</v>
      </c>
      <c r="BP4" s="470" t="n">
        <v>30</v>
      </c>
      <c r="BQ4" s="470">
        <f>BO4-BP4</f>
        <v/>
      </c>
      <c r="BR4" s="470" t="n">
        <v>37</v>
      </c>
    </row>
    <row r="5">
      <c r="A5" s="246" t="inlineStr">
        <is>
          <t>K리그</t>
        </is>
      </c>
      <c r="B5" s="482" t="inlineStr">
        <is>
          <t>3월 15일</t>
        </is>
      </c>
      <c r="C5" s="483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4" t="n"/>
      <c r="V5" s="480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5">
        <f>IFERROR(AR5/AN5,0)</f>
        <v/>
      </c>
      <c r="AX5" s="485">
        <f>IFERROR(AT5/AN5,0)</f>
        <v/>
      </c>
      <c r="AY5" s="485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70" t="n">
        <v>3</v>
      </c>
      <c r="BJ5" s="470" t="inlineStr">
        <is>
          <t>전북</t>
        </is>
      </c>
      <c r="BK5" s="470" t="n">
        <v>22</v>
      </c>
      <c r="BL5" s="470" t="n">
        <v>9</v>
      </c>
      <c r="BM5" s="470" t="n">
        <v>7</v>
      </c>
      <c r="BN5" s="470" t="n">
        <v>6</v>
      </c>
      <c r="BO5" s="470" t="n">
        <v>28</v>
      </c>
      <c r="BP5" s="470" t="n">
        <v>19</v>
      </c>
      <c r="BQ5" s="470">
        <f>BO5-BP5</f>
        <v/>
      </c>
      <c r="BR5" s="470" t="n">
        <v>34</v>
      </c>
    </row>
    <row r="6">
      <c r="A6" s="246" t="inlineStr">
        <is>
          <t>K리그</t>
        </is>
      </c>
      <c r="B6" s="482" t="inlineStr">
        <is>
          <t>3월 18일</t>
        </is>
      </c>
      <c r="C6" s="483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4" t="n">
        <v>6360</v>
      </c>
      <c r="V6" s="480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76" t="n">
        <v>4</v>
      </c>
      <c r="BJ6" s="476" t="inlineStr">
        <is>
          <t>제주</t>
        </is>
      </c>
      <c r="BK6" s="476" t="n">
        <v>23</v>
      </c>
      <c r="BL6" s="476" t="n">
        <v>9</v>
      </c>
      <c r="BM6" s="476" t="n">
        <v>7</v>
      </c>
      <c r="BN6" s="476" t="n">
        <v>7</v>
      </c>
      <c r="BO6" s="476" t="n">
        <v>27</v>
      </c>
      <c r="BP6" s="476" t="n">
        <v>24</v>
      </c>
      <c r="BQ6" s="476">
        <f>BO6-BP6</f>
        <v/>
      </c>
      <c r="BR6" s="476" t="n">
        <v>34</v>
      </c>
    </row>
    <row r="7">
      <c r="A7" s="246" t="inlineStr">
        <is>
          <t>K리그</t>
        </is>
      </c>
      <c r="B7" s="482" t="inlineStr">
        <is>
          <t>3월 22일</t>
        </is>
      </c>
      <c r="C7" s="483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4" t="n"/>
      <c r="V7" s="480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76" t="n">
        <v>5</v>
      </c>
      <c r="BJ7" s="476" t="inlineStr">
        <is>
          <t>강원</t>
        </is>
      </c>
      <c r="BK7" s="476" t="n">
        <v>21</v>
      </c>
      <c r="BL7" s="476" t="n">
        <v>8</v>
      </c>
      <c r="BM7" s="476" t="n">
        <v>8</v>
      </c>
      <c r="BN7" s="476" t="n">
        <v>5</v>
      </c>
      <c r="BO7" s="476" t="n">
        <v>25</v>
      </c>
      <c r="BP7" s="476" t="n">
        <v>17</v>
      </c>
      <c r="BQ7" s="476">
        <f>BO7-BP7</f>
        <v/>
      </c>
      <c r="BR7" s="476" t="n">
        <v>32</v>
      </c>
    </row>
    <row r="8">
      <c r="A8" s="246" t="inlineStr">
        <is>
          <t>K리그</t>
        </is>
      </c>
      <c r="B8" s="482" t="inlineStr">
        <is>
          <t>4월 5일</t>
        </is>
      </c>
      <c r="C8" s="483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4" t="n">
        <v>8239</v>
      </c>
      <c r="V8" s="480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76" t="n">
        <v>6</v>
      </c>
      <c r="BJ8" s="476" t="inlineStr">
        <is>
          <t>포항</t>
        </is>
      </c>
      <c r="BK8" s="476" t="n">
        <v>23</v>
      </c>
      <c r="BL8" s="476" t="n">
        <v>9</v>
      </c>
      <c r="BM8" s="476" t="n">
        <v>4</v>
      </c>
      <c r="BN8" s="476" t="n">
        <v>10</v>
      </c>
      <c r="BO8" s="476" t="n">
        <v>22</v>
      </c>
      <c r="BP8" s="476" t="n">
        <v>25</v>
      </c>
      <c r="BQ8" s="476">
        <f>BO8-BP8</f>
        <v/>
      </c>
      <c r="BR8" s="476" t="n">
        <v>31</v>
      </c>
    </row>
    <row r="9">
      <c r="A9" s="246" t="inlineStr">
        <is>
          <t>K리그</t>
        </is>
      </c>
      <c r="B9" s="482" t="inlineStr">
        <is>
          <t>4월 11일</t>
        </is>
      </c>
      <c r="C9" s="483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4" t="n">
        <v>11358</v>
      </c>
      <c r="V9" s="480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76" t="n">
        <v>7</v>
      </c>
      <c r="BJ9" s="476" t="inlineStr">
        <is>
          <t>안양</t>
        </is>
      </c>
      <c r="BK9" s="476" t="n">
        <v>23</v>
      </c>
      <c r="BL9" s="476" t="n">
        <v>7</v>
      </c>
      <c r="BM9" s="476" t="n">
        <v>9</v>
      </c>
      <c r="BN9" s="476" t="n">
        <v>7</v>
      </c>
      <c r="BO9" s="476" t="n">
        <v>30</v>
      </c>
      <c r="BP9" s="476" t="n">
        <v>30</v>
      </c>
      <c r="BQ9" s="476">
        <f>BO9-BP9</f>
        <v/>
      </c>
      <c r="BR9" s="476" t="n">
        <v>30</v>
      </c>
    </row>
    <row r="10">
      <c r="A10" s="246" t="inlineStr">
        <is>
          <t>K리그</t>
        </is>
      </c>
      <c r="B10" s="482" t="inlineStr">
        <is>
          <t>4월 18일</t>
        </is>
      </c>
      <c r="C10" s="483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4" t="n"/>
      <c r="V10" s="480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71" t="n">
        <v>8</v>
      </c>
      <c r="BJ10" s="471" t="inlineStr">
        <is>
          <t>인천</t>
        </is>
      </c>
      <c r="BK10" s="471" t="n">
        <v>21</v>
      </c>
      <c r="BL10" s="471" t="n">
        <v>8</v>
      </c>
      <c r="BM10" s="471" t="n">
        <v>5</v>
      </c>
      <c r="BN10" s="471" t="n">
        <v>8</v>
      </c>
      <c r="BO10" s="471" t="n">
        <v>28</v>
      </c>
      <c r="BP10" s="471" t="n">
        <v>24</v>
      </c>
      <c r="BQ10" s="471">
        <f>BO10-BP10</f>
        <v/>
      </c>
      <c r="BR10" s="471" t="n">
        <v>29</v>
      </c>
    </row>
    <row r="11">
      <c r="A11" s="246" t="inlineStr">
        <is>
          <t>K리그</t>
        </is>
      </c>
      <c r="B11" s="482" t="inlineStr">
        <is>
          <t>4월 21일</t>
        </is>
      </c>
      <c r="C11" s="483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4" t="n"/>
      <c r="V11" s="480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76" t="n">
        <v>9</v>
      </c>
      <c r="BJ11" s="476" t="inlineStr">
        <is>
          <t>대전</t>
        </is>
      </c>
      <c r="BK11" s="476" t="n">
        <v>23</v>
      </c>
      <c r="BL11" s="476" t="n">
        <v>6</v>
      </c>
      <c r="BM11" s="476" t="n">
        <v>8</v>
      </c>
      <c r="BN11" s="476" t="n">
        <v>9</v>
      </c>
      <c r="BO11" s="476" t="n">
        <v>29</v>
      </c>
      <c r="BP11" s="476" t="n">
        <v>28</v>
      </c>
      <c r="BQ11" s="476">
        <f>BO11-BP11</f>
        <v/>
      </c>
      <c r="BR11" s="476" t="n">
        <v>26</v>
      </c>
    </row>
    <row r="12">
      <c r="A12" s="246" t="inlineStr">
        <is>
          <t>K리그</t>
        </is>
      </c>
      <c r="B12" s="482" t="inlineStr">
        <is>
          <t>4월 25일</t>
        </is>
      </c>
      <c r="C12" s="483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4" t="n">
        <v>8371</v>
      </c>
      <c r="V12" s="480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76" t="n">
        <v>10</v>
      </c>
      <c r="BJ12" s="476" t="inlineStr">
        <is>
          <t>김천</t>
        </is>
      </c>
      <c r="BK12" s="476" t="n">
        <v>22</v>
      </c>
      <c r="BL12" s="476" t="n">
        <v>4</v>
      </c>
      <c r="BM12" s="476" t="n">
        <v>12</v>
      </c>
      <c r="BN12" s="476" t="n">
        <v>6</v>
      </c>
      <c r="BO12" s="476" t="n">
        <v>22</v>
      </c>
      <c r="BP12" s="476" t="n">
        <v>28</v>
      </c>
      <c r="BQ12" s="476">
        <f>BO12-BP12</f>
        <v/>
      </c>
      <c r="BR12" s="476" t="n">
        <v>24</v>
      </c>
    </row>
    <row r="13">
      <c r="A13" s="246" t="inlineStr">
        <is>
          <t>K리그</t>
        </is>
      </c>
      <c r="B13" s="482" t="inlineStr">
        <is>
          <t>5월 2일</t>
        </is>
      </c>
      <c r="C13" s="483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4" t="n">
        <v>11404</v>
      </c>
      <c r="V13" s="480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76" t="n">
        <v>11</v>
      </c>
      <c r="BJ13" s="476" t="inlineStr">
        <is>
          <t>부천</t>
        </is>
      </c>
      <c r="BK13" s="476" t="n">
        <v>22</v>
      </c>
      <c r="BL13" s="476" t="n">
        <v>5</v>
      </c>
      <c r="BM13" s="476" t="n">
        <v>9</v>
      </c>
      <c r="BN13" s="476" t="n">
        <v>8</v>
      </c>
      <c r="BO13" s="476" t="n">
        <v>21</v>
      </c>
      <c r="BP13" s="476" t="n">
        <v>25</v>
      </c>
      <c r="BQ13" s="476">
        <f>BO13-BP13</f>
        <v/>
      </c>
      <c r="BR13" s="476" t="n">
        <v>24</v>
      </c>
    </row>
    <row r="14" ht="17.5" customHeight="1" s="474">
      <c r="A14" s="367" t="inlineStr">
        <is>
          <t>K리그</t>
        </is>
      </c>
      <c r="B14" s="486" t="inlineStr">
        <is>
          <t>5월 5일</t>
        </is>
      </c>
      <c r="C14" s="487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8" t="n"/>
      <c r="V14" s="489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72" t="n">
        <v>12</v>
      </c>
      <c r="BJ14" s="472" t="inlineStr">
        <is>
          <t>광주</t>
        </is>
      </c>
      <c r="BK14" s="472" t="n">
        <v>23</v>
      </c>
      <c r="BL14" s="472" t="n">
        <v>1</v>
      </c>
      <c r="BM14" s="472" t="n">
        <v>8</v>
      </c>
      <c r="BN14" s="472" t="n">
        <v>14</v>
      </c>
      <c r="BO14" s="472" t="n">
        <v>12</v>
      </c>
      <c r="BP14" s="472" t="n">
        <v>49</v>
      </c>
      <c r="BQ14" s="472">
        <f>BO14-BP14</f>
        <v/>
      </c>
      <c r="BR14" s="472" t="n">
        <v>11</v>
      </c>
    </row>
    <row r="15" ht="17.5" customHeight="1" s="474">
      <c r="A15" s="367" t="inlineStr">
        <is>
          <t>K리그</t>
        </is>
      </c>
      <c r="B15" s="486" t="inlineStr">
        <is>
          <t>5월 9일</t>
        </is>
      </c>
      <c r="C15" s="487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0" t="n"/>
      <c r="V15" s="491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3" t="inlineStr">
        <is>
          <t>출처: soccer365 / K리그 공식</t>
        </is>
      </c>
    </row>
    <row r="16">
      <c r="A16" s="367" t="inlineStr">
        <is>
          <t>K리그</t>
        </is>
      </c>
      <c r="B16" s="486" t="inlineStr">
        <is>
          <t>5월 12일</t>
        </is>
      </c>
      <c r="C16" s="487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8" t="n">
        <v>6620</v>
      </c>
      <c r="V16" s="489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86" t="inlineStr">
        <is>
          <t>5월 16일</t>
        </is>
      </c>
      <c r="C17" s="487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8" t="n">
        <v>11128</v>
      </c>
      <c r="V17" s="489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86" t="inlineStr">
        <is>
          <t>7월 5일</t>
        </is>
      </c>
      <c r="C18" s="487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8" t="n"/>
      <c r="V18" s="489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86" t="inlineStr">
        <is>
          <t>7월 12일</t>
        </is>
      </c>
      <c r="C19" s="487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8" t="n">
        <v>10616</v>
      </c>
      <c r="V19" s="489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86" t="inlineStr">
        <is>
          <t>7월 18일</t>
        </is>
      </c>
      <c r="C20" s="487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8" t="n">
        <v>12984</v>
      </c>
      <c r="V20" s="489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86" t="inlineStr">
        <is>
          <t>7월 21일</t>
        </is>
      </c>
      <c r="C21" s="487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8" t="n"/>
      <c r="V21" s="489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86" t="inlineStr">
        <is>
          <t>7월 26일</t>
        </is>
      </c>
      <c r="C22" s="487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8" t="n">
        <v>8623</v>
      </c>
      <c r="V22" s="489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86" t="inlineStr">
        <is>
          <t>8월 2일</t>
        </is>
      </c>
      <c r="C23" s="487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8" t="n"/>
      <c r="V23" s="489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86" t="inlineStr">
        <is>
          <t>9월 27일</t>
        </is>
      </c>
      <c r="C24" s="487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8" t="n"/>
      <c r="V24" s="489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2" t="inlineStr">
        <is>
          <t>8월 16일</t>
        </is>
      </c>
      <c r="C25" s="483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4" t="n"/>
      <c r="V25" s="480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2" t="inlineStr">
        <is>
          <t>8월 23일</t>
        </is>
      </c>
      <c r="C26" s="483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4" t="n"/>
      <c r="V26" s="480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2" t="inlineStr">
        <is>
          <t>8월 26일</t>
        </is>
      </c>
      <c r="C27" s="483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4" t="n"/>
      <c r="V27" s="480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2" t="inlineStr">
        <is>
          <t>8월 30일</t>
        </is>
      </c>
      <c r="C28" s="483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4" t="n"/>
      <c r="V28" s="480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2" t="inlineStr">
        <is>
          <t>9월 5일</t>
        </is>
      </c>
      <c r="C29" s="483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4" t="n"/>
      <c r="V29" s="480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2" t="inlineStr">
        <is>
          <t>9월 8일</t>
        </is>
      </c>
      <c r="C30" s="483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4" t="n"/>
      <c r="V30" s="480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2" t="inlineStr">
        <is>
          <t>9월 12일</t>
        </is>
      </c>
      <c r="C31" s="483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4" t="n"/>
      <c r="V31" s="480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2" t="inlineStr">
        <is>
          <t>9월 20일</t>
        </is>
      </c>
      <c r="C32" s="483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4" t="n"/>
      <c r="V32" s="480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2" t="inlineStr">
        <is>
          <t>10월 9일</t>
        </is>
      </c>
      <c r="C33" s="483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4" t="n"/>
      <c r="V33" s="480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2" t="inlineStr">
        <is>
          <t>10월 18일</t>
        </is>
      </c>
      <c r="C34" s="483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4" t="n"/>
      <c r="V34" s="480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2" t="inlineStr">
        <is>
          <t>10월 24일</t>
        </is>
      </c>
      <c r="C35" s="483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4" t="n"/>
      <c r="V35" s="480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86" t="n"/>
      <c r="C36" s="487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8" t="n"/>
      <c r="V36" s="489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86" t="n"/>
      <c r="C37" s="487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8" t="n"/>
      <c r="V37" s="489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86" t="n"/>
      <c r="C38" s="487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2" t="n"/>
      <c r="N38" s="320" t="n"/>
      <c r="O38" s="320" t="n"/>
      <c r="P38" s="368" t="n"/>
      <c r="Q38" s="363" t="n"/>
      <c r="R38" s="320" t="n"/>
      <c r="S38" s="320" t="n"/>
      <c r="T38" s="320" t="n"/>
      <c r="U38" s="488" t="n"/>
      <c r="V38" s="489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86" t="n"/>
      <c r="C39" s="487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3" t="n"/>
      <c r="V39" s="494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4" thickBot="1">
      <c r="A40" s="411" t="inlineStr">
        <is>
          <t>K리그</t>
        </is>
      </c>
      <c r="B40" s="495" t="n"/>
      <c r="C40" s="496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497" t="n"/>
      <c r="V40" s="498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499" t="inlineStr">
        <is>
          <t>7월29일</t>
        </is>
      </c>
      <c r="C41" s="500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1" t="n">
        <v>3873</v>
      </c>
      <c r="V41" s="502" t="inlineStr">
        <is>
          <t>박진호</t>
        </is>
      </c>
      <c r="X41" s="503" t="inlineStr">
        <is>
          <t>레안드로</t>
        </is>
      </c>
      <c r="Y41" s="332">
        <f>Z41+AA41</f>
        <v/>
      </c>
      <c r="Z41" s="504">
        <f>COUNTIF('출전기록 (26)'!C$2:M$39,'2026 토탈'!X41)</f>
        <v/>
      </c>
      <c r="AA41" s="50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505">
        <f>AF41+AG41</f>
        <v/>
      </c>
      <c r="AF41" s="505">
        <f>COUNTIF('출전기록 (26)'!W$2:AG$7,'2026 토탈'!X41)+Z41</f>
        <v/>
      </c>
      <c r="AG41" s="505">
        <f>COUNTIF('출전기록 (26)'!AH$2:AM$7,'2026 토탈'!X41)+AA41</f>
        <v/>
      </c>
      <c r="AH41" s="505">
        <f>COUNTIF($M$3:$P$41,$X41)</f>
        <v/>
      </c>
      <c r="AI41" s="505">
        <f>COUNTIF($Q$3:$T$41,$X41)</f>
        <v/>
      </c>
      <c r="AJ41" s="505">
        <f>AH41+AI41</f>
        <v/>
      </c>
    </row>
    <row r="42">
      <c r="N42" s="0" t="inlineStr">
        <is>
          <t>2026시즌</t>
        </is>
      </c>
      <c r="O42" s="506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7">
        <f>SUMIFS(U3:U41,A3:A41,M44)</f>
        <v/>
      </c>
      <c r="P44" s="507">
        <f>O44/N44</f>
        <v/>
      </c>
      <c r="Q44" s="508" t="n">
        <v>19</v>
      </c>
      <c r="R44" s="508" t="n">
        <v>193302</v>
      </c>
      <c r="S44" s="509" t="n">
        <v>10173.78947368421</v>
      </c>
      <c r="T44" s="510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7">
        <f>SUMIFS(U3:U41,A3:A41,M45)</f>
        <v/>
      </c>
      <c r="P45" s="507">
        <f>O45/N45</f>
        <v/>
      </c>
      <c r="Q45" s="508" t="n">
        <v>2</v>
      </c>
      <c r="R45" s="508" t="n">
        <v>2303</v>
      </c>
      <c r="S45" s="509" t="n">
        <v>1151.5</v>
      </c>
      <c r="T45" s="510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4" min="1" max="1"/>
    <col width="7.33203125" customWidth="1" style="474" min="2" max="2"/>
    <col width="7.83203125" bestFit="1" customWidth="1" style="474" min="3" max="3"/>
    <col width="8.5" bestFit="1" customWidth="1" style="474" min="4" max="4"/>
    <col width="9.08203125" bestFit="1" customWidth="1" style="474" min="5" max="5"/>
    <col width="9.33203125" bestFit="1" customWidth="1" style="474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4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7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7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7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7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7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7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7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7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7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7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7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7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7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1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1" t="n">
        <v>11820</v>
      </c>
      <c r="E57" s="280" t="inlineStr">
        <is>
          <t>승</t>
        </is>
      </c>
    </row>
    <row r="58" hidden="1" s="474">
      <c r="A58" s="399" t="n">
        <v>16</v>
      </c>
      <c r="B58" s="352" t="inlineStr">
        <is>
          <t>서울</t>
        </is>
      </c>
      <c r="C58" s="2" t="n"/>
      <c r="D58" s="507" t="n"/>
      <c r="E58" s="269" t="n"/>
    </row>
    <row r="59" hidden="1" s="474">
      <c r="A59" s="399" t="n">
        <v>17</v>
      </c>
      <c r="B59" s="352" t="inlineStr">
        <is>
          <t>안양</t>
        </is>
      </c>
      <c r="C59" s="2" t="n"/>
      <c r="D59" s="507" t="n"/>
      <c r="E59" s="269" t="n"/>
    </row>
    <row r="60" hidden="1" s="474">
      <c r="A60" s="399" t="n">
        <v>18</v>
      </c>
      <c r="B60" s="352" t="inlineStr">
        <is>
          <t>전북</t>
        </is>
      </c>
      <c r="C60" s="2" t="n"/>
      <c r="D60" s="507" t="n"/>
      <c r="E60" s="269" t="n"/>
    </row>
    <row r="61" hidden="1" s="474">
      <c r="A61" s="399" t="n">
        <v>19</v>
      </c>
      <c r="B61" s="352" t="inlineStr">
        <is>
          <t>울산</t>
        </is>
      </c>
      <c r="C61" s="2" t="n"/>
      <c r="D61" s="507" t="n"/>
      <c r="E61" s="269" t="n"/>
    </row>
    <row r="62" hidden="1" s="474">
      <c r="A62" s="399" t="n">
        <v>20</v>
      </c>
      <c r="B62" s="352" t="inlineStr">
        <is>
          <t>부천</t>
        </is>
      </c>
      <c r="C62" s="2" t="n"/>
      <c r="D62" s="507" t="n"/>
      <c r="E62" s="269" t="n"/>
    </row>
    <row r="63" hidden="1" s="474">
      <c r="A63" s="399" t="n">
        <v>21</v>
      </c>
      <c r="B63" s="352" t="inlineStr">
        <is>
          <t>제주</t>
        </is>
      </c>
      <c r="C63" s="2" t="n"/>
      <c r="D63" s="507" t="n"/>
      <c r="E63" s="269" t="n"/>
    </row>
    <row r="64" hidden="1" s="474">
      <c r="A64" s="415" t="n">
        <v>22</v>
      </c>
      <c r="B64" s="413" t="inlineStr">
        <is>
          <t>강원</t>
        </is>
      </c>
      <c r="C64" s="441" t="n"/>
      <c r="D64" s="511" t="n"/>
      <c r="E64" s="280" t="n"/>
    </row>
    <row r="65" hidden="1" s="474">
      <c r="A65" s="399" t="n">
        <v>23</v>
      </c>
      <c r="B65" s="352" t="inlineStr">
        <is>
          <t>김천</t>
        </is>
      </c>
      <c r="C65" s="2" t="n"/>
      <c r="D65" s="507" t="n"/>
      <c r="E65" s="269" t="n"/>
    </row>
    <row r="66" hidden="1" s="474">
      <c r="A66" s="399" t="n">
        <v>24</v>
      </c>
      <c r="B66" s="352" t="inlineStr">
        <is>
          <t>광주</t>
        </is>
      </c>
      <c r="C66" s="2" t="n"/>
      <c r="D66" s="507" t="n"/>
      <c r="E66" s="269" t="n"/>
    </row>
    <row r="67" hidden="1" s="474">
      <c r="A67" s="399" t="n">
        <v>25</v>
      </c>
      <c r="B67" s="352" t="inlineStr">
        <is>
          <t>안양</t>
        </is>
      </c>
      <c r="C67" s="2" t="n"/>
      <c r="D67" s="507" t="n"/>
      <c r="E67" s="269" t="n"/>
    </row>
    <row r="68" hidden="1" s="474">
      <c r="A68" s="399" t="n">
        <v>26</v>
      </c>
      <c r="B68" s="352" t="inlineStr">
        <is>
          <t>전북</t>
        </is>
      </c>
      <c r="C68" s="2" t="n"/>
      <c r="D68" s="507" t="n"/>
      <c r="E68" s="269" t="n"/>
    </row>
    <row r="69" hidden="1" s="474">
      <c r="A69" s="399" t="n">
        <v>27</v>
      </c>
      <c r="B69" s="352" t="inlineStr">
        <is>
          <t>서울</t>
        </is>
      </c>
      <c r="C69" s="2" t="n"/>
      <c r="D69" s="507" t="n"/>
      <c r="E69" s="269" t="n"/>
    </row>
    <row r="70" hidden="1" s="474">
      <c r="A70" s="399" t="n">
        <v>28</v>
      </c>
      <c r="B70" s="352" t="inlineStr">
        <is>
          <t>부천</t>
        </is>
      </c>
      <c r="C70" s="2" t="n"/>
      <c r="D70" s="507" t="n"/>
      <c r="E70" s="269" t="n"/>
    </row>
    <row r="71" hidden="1" s="474">
      <c r="A71" s="399" t="n">
        <v>29</v>
      </c>
      <c r="B71" s="352" t="inlineStr">
        <is>
          <t>울산</t>
        </is>
      </c>
      <c r="C71" s="2" t="n"/>
      <c r="D71" s="507" t="n"/>
      <c r="E71" s="269" t="n"/>
    </row>
    <row r="72" hidden="1" s="474">
      <c r="A72" s="399" t="n">
        <v>30</v>
      </c>
      <c r="B72" s="352" t="inlineStr">
        <is>
          <t>대전</t>
        </is>
      </c>
      <c r="C72" s="2" t="n"/>
      <c r="D72" s="507" t="n"/>
      <c r="E72" s="269" t="n"/>
    </row>
    <row r="73" hidden="1" s="474">
      <c r="A73" s="399" t="n">
        <v>31</v>
      </c>
      <c r="B73" s="352" t="inlineStr">
        <is>
          <t>포항</t>
        </is>
      </c>
      <c r="C73" s="2" t="n"/>
      <c r="D73" s="507" t="n"/>
      <c r="E73" s="269" t="n"/>
    </row>
    <row r="74" hidden="1" s="474">
      <c r="A74" s="399" t="n">
        <v>32</v>
      </c>
      <c r="B74" s="352" t="inlineStr">
        <is>
          <t>강원</t>
        </is>
      </c>
      <c r="C74" s="2" t="n"/>
      <c r="D74" s="507" t="n"/>
      <c r="E74" s="269" t="n"/>
    </row>
    <row r="75" hidden="1" s="474">
      <c r="A75" s="415" t="n">
        <v>33</v>
      </c>
      <c r="B75" s="413" t="inlineStr">
        <is>
          <t>제주</t>
        </is>
      </c>
      <c r="C75" s="441" t="n"/>
      <c r="D75" s="511" t="n"/>
      <c r="E75" s="280" t="n"/>
    </row>
    <row r="76">
      <c r="A76" s="1" t="n"/>
      <c r="B76" s="1" t="n"/>
      <c r="C76" s="1" t="n"/>
      <c r="D76" s="512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3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3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4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4" min="13" max="13"/>
    <col width="9.25" bestFit="1" customWidth="1" style="474" min="14" max="14"/>
    <col width="10.5" bestFit="1" customWidth="1" style="474" min="15" max="15"/>
    <col width="9" bestFit="1" customWidth="1" style="474" min="16" max="16"/>
    <col width="9.25" bestFit="1" customWidth="1" style="474" min="17" max="17"/>
    <col width="9.33203125" customWidth="1" style="474" min="18" max="18"/>
    <col width="9" bestFit="1" customWidth="1" style="474" min="19" max="19"/>
    <col width="10.75" customWidth="1" style="474" min="20" max="20"/>
    <col width="8.33203125" customWidth="1" style="474" min="21" max="21"/>
    <col width="8.58203125" bestFit="1" customWidth="1" style="474" min="22" max="22"/>
    <col width="10" customWidth="1" style="474" min="23" max="23"/>
    <col width="9" bestFit="1" customWidth="1" style="474" min="24" max="24"/>
    <col width="5.5" bestFit="1" customWidth="1" style="474" min="25" max="25"/>
    <col width="5.25" bestFit="1" customWidth="1" style="474" min="26" max="37"/>
    <col width="6.33203125" bestFit="1" customWidth="1" style="474" min="38" max="38"/>
    <col width="9" bestFit="1" customWidth="1" style="474" min="39" max="39"/>
    <col width="5.5" bestFit="1" customWidth="1" style="474" min="40" max="40"/>
    <col width="4" bestFit="1" customWidth="1" style="474" min="41" max="41"/>
    <col width="3.58203125" bestFit="1" customWidth="1" style="474" min="42" max="43"/>
    <col width="5.5" bestFit="1" customWidth="1" style="474" min="44" max="44"/>
    <col width="6.08203125" customWidth="1" style="474" min="45" max="45"/>
    <col width="5.5" bestFit="1" customWidth="1" style="474" min="46" max="48"/>
    <col width="9.83203125" customWidth="1" style="474" min="49" max="51"/>
    <col width="9.08203125" bestFit="1" customWidth="1" style="474" min="52" max="52"/>
    <col width="7.08203125" bestFit="1" customWidth="1" style="474" min="53" max="53"/>
    <col width="5.5" bestFit="1" customWidth="1" style="474" min="54" max="54"/>
    <col width="4" bestFit="1" customWidth="1" style="474" min="55" max="55"/>
    <col width="3.58203125" bestFit="1" customWidth="1" style="474" min="56" max="57"/>
    <col width="5.5" bestFit="1" customWidth="1" style="474" min="58" max="58"/>
    <col width="6.75" bestFit="1" customWidth="1" style="474" min="59" max="59"/>
    <col width="9.25" bestFit="1" customWidth="1" style="474" min="60" max="60"/>
  </cols>
  <sheetData>
    <row r="1" ht="17.5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4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5" t="n">
        <v>45710</v>
      </c>
      <c r="C3" s="516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9" t="n">
        <v>9363</v>
      </c>
      <c r="V3" s="480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7" t="n">
        <v>45717</v>
      </c>
      <c r="C4" s="518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4" t="n">
        <v>18173</v>
      </c>
      <c r="V4" s="480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7" t="n">
        <v>45725</v>
      </c>
      <c r="C5" s="518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4" t="n"/>
      <c r="V5" s="480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7" t="n">
        <v>45731</v>
      </c>
      <c r="C6" s="518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4" t="n">
        <v>9695</v>
      </c>
      <c r="V6" s="480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7" t="n">
        <v>45745</v>
      </c>
      <c r="C7" s="518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4" t="n">
        <v>8507</v>
      </c>
      <c r="V7" s="480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7" t="n">
        <v>45752</v>
      </c>
      <c r="C8" s="518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4" t="n"/>
      <c r="V8" s="480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7" t="n">
        <v>45760</v>
      </c>
      <c r="C9" s="518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4" t="n">
        <v>5542</v>
      </c>
      <c r="V9" s="480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7" t="n">
        <v>45766</v>
      </c>
      <c r="C10" s="518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4" t="n">
        <v>4637</v>
      </c>
      <c r="V10" s="480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7" t="n">
        <v>45773</v>
      </c>
      <c r="C11" s="518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4" t="n"/>
      <c r="V11" s="480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7" t="n">
        <v>45781</v>
      </c>
      <c r="C12" s="518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4" t="n">
        <v>11792</v>
      </c>
      <c r="V12" s="480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7" t="n">
        <v>45787</v>
      </c>
      <c r="C13" s="518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4" t="n"/>
      <c r="V13" s="480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7" t="n">
        <v>45795</v>
      </c>
      <c r="C14" s="518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4" t="n"/>
      <c r="V14" s="480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7" t="n">
        <v>45802</v>
      </c>
      <c r="C15" s="518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19" t="n">
        <v>12052</v>
      </c>
      <c r="V15" s="520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7" t="n">
        <v>45809</v>
      </c>
      <c r="C16" s="518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1" t="n"/>
      <c r="V16" s="522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7" t="n">
        <v>45816</v>
      </c>
      <c r="C17" s="518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1" t="n">
        <v>11007</v>
      </c>
      <c r="V17" s="522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7" t="n">
        <v>45823</v>
      </c>
      <c r="C18" s="518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1" t="n"/>
      <c r="V18" s="522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7" t="n">
        <v>45829</v>
      </c>
      <c r="C19" s="518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1" t="n">
        <v>9245</v>
      </c>
      <c r="V19" s="522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7" t="n">
        <v>45837</v>
      </c>
      <c r="C20" s="518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1" t="n"/>
      <c r="V20" s="522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7" t="n">
        <v>45843</v>
      </c>
      <c r="C21" s="518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1" t="n"/>
      <c r="V21" s="522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7" t="n">
        <v>45851</v>
      </c>
      <c r="C22" s="518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1" t="n">
        <v>9326</v>
      </c>
      <c r="V22" s="522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4">
      <c r="A23" s="246" t="inlineStr">
        <is>
          <t>K리그</t>
        </is>
      </c>
      <c r="B23" s="517" t="n">
        <v>45858</v>
      </c>
      <c r="C23" s="518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1" t="n"/>
      <c r="V23" s="522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7" t="n">
        <v>45865</v>
      </c>
      <c r="C24" s="518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1" t="n">
        <v>7392</v>
      </c>
      <c r="V24" s="522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7" t="n">
        <v>45871</v>
      </c>
      <c r="C25" s="518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1" t="n"/>
      <c r="V25" s="522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7" t="n">
        <v>45878</v>
      </c>
      <c r="C26" s="518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1" t="n"/>
      <c r="V26" s="522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7" t="n">
        <v>45885</v>
      </c>
      <c r="C27" s="518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1" t="n">
        <v>9352</v>
      </c>
      <c r="V27" s="522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7" t="n">
        <v>45893</v>
      </c>
      <c r="C28" s="518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1" t="n"/>
      <c r="V28" s="522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7" t="n">
        <v>45899</v>
      </c>
      <c r="C29" s="518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4" t="n">
        <v>8441</v>
      </c>
      <c r="V29" s="480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7" t="n">
        <v>45907</v>
      </c>
      <c r="C30" s="518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4" t="n"/>
      <c r="V30" s="480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7" t="n">
        <v>45913</v>
      </c>
      <c r="C31" s="518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4" t="n"/>
      <c r="V31" s="480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7" t="n">
        <v>45920</v>
      </c>
      <c r="C32" s="518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4" t="n">
        <v>10328</v>
      </c>
      <c r="V32" s="480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7" t="n">
        <v>45928</v>
      </c>
      <c r="C33" s="518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4" t="n"/>
      <c r="V33" s="480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7" t="n">
        <v>45934</v>
      </c>
      <c r="C34" s="518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4" t="n"/>
      <c r="V34" s="480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7" t="n">
        <v>45938</v>
      </c>
      <c r="C35" s="518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4" t="n">
        <v>18134</v>
      </c>
      <c r="V35" s="480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7" t="n">
        <v>45942</v>
      </c>
      <c r="C36" s="518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4" t="n"/>
      <c r="V36" s="480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7" t="n">
        <v>45949</v>
      </c>
      <c r="C37" s="518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4" t="n"/>
      <c r="V37" s="480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4" thickBot="1">
      <c r="A38" s="246" t="inlineStr">
        <is>
          <t>K리그</t>
        </is>
      </c>
      <c r="B38" s="517" t="n">
        <v>45956</v>
      </c>
      <c r="C38" s="518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3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4" t="n">
        <v>11156</v>
      </c>
      <c r="V38" s="480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7" t="n">
        <v>45963</v>
      </c>
      <c r="C39" s="518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4" t="n">
        <v>7058</v>
      </c>
      <c r="V39" s="525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7" t="n">
        <v>45969</v>
      </c>
      <c r="C40" s="518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6" t="n"/>
      <c r="V40" s="480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4" thickBot="1">
      <c r="A41" s="383" t="inlineStr">
        <is>
          <t>K리그</t>
        </is>
      </c>
      <c r="B41" s="527" t="n">
        <v>45984</v>
      </c>
      <c r="C41" s="528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29" t="n">
        <v>12102</v>
      </c>
      <c r="V41" s="530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1" t="n">
        <v>45739</v>
      </c>
      <c r="C42" s="532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3" t="n"/>
      <c r="V42" s="534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7" t="n">
        <v>45763</v>
      </c>
      <c r="C43" s="518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5" t="n">
        <v>2303</v>
      </c>
      <c r="V43" s="489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7" t="n">
        <v>45791</v>
      </c>
      <c r="C44" s="518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5" t="n"/>
      <c r="V44" s="489" t="inlineStr">
        <is>
          <t>박진호</t>
        </is>
      </c>
    </row>
    <row r="45">
      <c r="A45" s="110" t="inlineStr">
        <is>
          <t>FA컵</t>
        </is>
      </c>
      <c r="B45" s="517" t="n"/>
      <c r="C45" s="518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5" t="n"/>
      <c r="V45" s="489" t="n"/>
    </row>
    <row r="46" ht="17.5" customHeight="1" s="474" thickBot="1">
      <c r="A46" s="100" t="inlineStr">
        <is>
          <t>FA컵</t>
        </is>
      </c>
      <c r="B46" s="527" t="n"/>
      <c r="C46" s="528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6" t="n"/>
      <c r="V46" s="537" t="n"/>
    </row>
    <row r="47">
      <c r="N47" s="0" t="inlineStr">
        <is>
          <t>2025시즌</t>
        </is>
      </c>
      <c r="O47" s="506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7">
        <f>SUMIFS(U3:U46,A3:A46,M49)</f>
        <v/>
      </c>
      <c r="P49" s="507">
        <f>O49/N49</f>
        <v/>
      </c>
      <c r="Q49" s="508" t="n">
        <v>19</v>
      </c>
      <c r="R49" s="508" t="n">
        <v>208045</v>
      </c>
      <c r="S49" s="509" t="n">
        <v>10949.73684210526</v>
      </c>
      <c r="T49" s="510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7">
        <f>SUMIFS(U3:U46,A3:A46,M50)</f>
        <v/>
      </c>
      <c r="P50" s="507">
        <f>O50/N50</f>
        <v/>
      </c>
      <c r="Q50" s="508" t="n">
        <v>2</v>
      </c>
      <c r="R50" s="508" t="n">
        <v>4421</v>
      </c>
      <c r="S50" s="509" t="n">
        <v>2210.5</v>
      </c>
      <c r="T50" s="510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38">
        <f>SUM(O49:O50)</f>
        <v/>
      </c>
      <c r="P51" s="539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4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4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4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4" min="12" max="18"/>
    <col width="11.58203125" customWidth="1" style="474" min="19" max="19"/>
    <col width="7.08203125" customWidth="1" style="474" min="20" max="20"/>
    <col width="8.83203125" customWidth="1" style="474" min="21" max="21"/>
    <col width="10" bestFit="1" customWidth="1" style="474" min="22" max="22"/>
    <col width="12.58203125" bestFit="1" customWidth="1" style="474" min="23" max="23"/>
    <col width="11" bestFit="1" customWidth="1" style="474" min="24" max="24"/>
    <col width="5.58203125" bestFit="1" customWidth="1" style="474" min="25" max="30"/>
    <col width="5.5" customWidth="1" style="474" min="31" max="33"/>
    <col width="9.25" bestFit="1" customWidth="1" style="474" min="34" max="34"/>
    <col width="8.25" bestFit="1" customWidth="1" style="474" min="35" max="35"/>
    <col width="9.25" bestFit="1" customWidth="1" style="474" min="36" max="36"/>
    <col width="5.58203125" bestFit="1" customWidth="1" style="474" min="37" max="37"/>
    <col width="3.75" bestFit="1" customWidth="1" style="474" min="38" max="38"/>
    <col width="4" bestFit="1" customWidth="1" style="474" min="39" max="39"/>
    <col width="3.75" bestFit="1" customWidth="1" style="474" min="40" max="40"/>
    <col width="6.08203125" bestFit="1" customWidth="1" style="474" min="41" max="41"/>
    <col hidden="1" width="8.58203125" customWidth="1" style="474" min="42" max="42"/>
    <col width="9.08203125" bestFit="1" customWidth="1" style="474" min="43" max="48"/>
    <col width="9.08203125" bestFit="1" customWidth="1" style="474" min="51" max="51"/>
  </cols>
  <sheetData>
    <row r="1" ht="17.5" customHeight="1" s="474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4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0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1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2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3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2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3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2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3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2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3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2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3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2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3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2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3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2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3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2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3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2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3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4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5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4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6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4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5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4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5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4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5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4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5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4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5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4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5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4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5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4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5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4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5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2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3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2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3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2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3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2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3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2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3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2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5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2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3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2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3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2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3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2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3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2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3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4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5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4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5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4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7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5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4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48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4" thickBot="1">
      <c r="A40" s="236" t="inlineStr">
        <is>
          <t>K리그</t>
        </is>
      </c>
      <c r="B40" s="549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0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4" thickBot="1">
      <c r="A41" s="98" t="inlineStr">
        <is>
          <t>FA컵</t>
        </is>
      </c>
      <c r="B41" s="551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2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1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2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4" thickBot="1">
      <c r="A43" s="110" t="inlineStr">
        <is>
          <t>FA컵</t>
        </is>
      </c>
      <c r="B43" s="553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4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3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4" t="n"/>
    </row>
    <row r="45">
      <c r="A45" s="110" t="inlineStr">
        <is>
          <t>FA컵</t>
        </is>
      </c>
      <c r="B45" s="553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4" t="n"/>
    </row>
    <row r="46" ht="17.5" customHeight="1" s="474" thickBot="1">
      <c r="A46" s="100" t="inlineStr">
        <is>
          <t>FA컵</t>
        </is>
      </c>
      <c r="B46" s="555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6" t="n"/>
    </row>
    <row r="47">
      <c r="M47" s="0" t="inlineStr">
        <is>
          <t>2024시즌</t>
        </is>
      </c>
      <c r="N47" s="506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7">
        <f>SUMIFS(V3:V46,A3:A46,L49)</f>
        <v/>
      </c>
      <c r="O49" s="507">
        <f>N49/M49</f>
        <v/>
      </c>
      <c r="P49" s="508" t="n">
        <v>19</v>
      </c>
      <c r="Q49" s="508" t="n">
        <v>169826</v>
      </c>
      <c r="R49" s="509">
        <f>Q49/19</f>
        <v/>
      </c>
      <c r="S49" s="510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7">
        <f>SUMIFS(V3:V46,A3:A46,L50)</f>
        <v/>
      </c>
      <c r="O50" s="507">
        <f>N50/M50</f>
        <v/>
      </c>
      <c r="P50" s="508" t="n">
        <v>2</v>
      </c>
      <c r="Q50" s="508" t="n">
        <v>5581</v>
      </c>
      <c r="R50" s="509">
        <f>Q50/2</f>
        <v/>
      </c>
      <c r="S50" s="510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7">
        <f>SUM(N49:N50)</f>
        <v/>
      </c>
      <c r="O51" s="558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4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4" min="1" max="1"/>
    <col width="10.83203125" bestFit="1" customWidth="1" style="474" min="2" max="2"/>
    <col width="6.75" bestFit="1" customWidth="1" style="474" min="3" max="3"/>
    <col width="10.5" bestFit="1" customWidth="1" style="474" min="4" max="4"/>
    <col width="8.58203125" bestFit="1" customWidth="1" style="474" min="5" max="5"/>
    <col width="15.33203125" bestFit="1" customWidth="1" style="474" min="6" max="6"/>
    <col width="9.33203125" bestFit="1" customWidth="1" style="474" min="7" max="7"/>
    <col width="10.83203125" bestFit="1" customWidth="1" style="474" min="10" max="10"/>
  </cols>
  <sheetData>
    <row r="2">
      <c r="A2" s="557" t="inlineStr">
        <is>
          <t>시즌</t>
        </is>
      </c>
      <c r="B2" s="557" t="inlineStr">
        <is>
          <t>총관중수</t>
        </is>
      </c>
      <c r="C2" s="557" t="inlineStr">
        <is>
          <t>경기</t>
        </is>
      </c>
      <c r="D2" s="557" t="inlineStr">
        <is>
          <t>평균관중</t>
        </is>
      </c>
      <c r="E2" s="557" t="inlineStr">
        <is>
          <t>경기장</t>
        </is>
      </c>
      <c r="F2" s="557" t="inlineStr">
        <is>
          <t>비고</t>
        </is>
      </c>
    </row>
    <row r="3">
      <c r="A3" s="222" t="n">
        <v>2004</v>
      </c>
      <c r="B3" s="559" t="n">
        <v>142821</v>
      </c>
      <c r="C3" s="217" t="n">
        <v>12</v>
      </c>
      <c r="D3" s="560" t="n">
        <v>11902</v>
      </c>
      <c r="E3" s="561" t="inlineStr">
        <is>
          <t>문학</t>
        </is>
      </c>
      <c r="F3" s="507" t="n"/>
      <c r="G3" s="506" t="n"/>
      <c r="H3" s="559" t="n"/>
      <c r="I3" s="506" t="n"/>
      <c r="J3" s="506" t="n"/>
    </row>
    <row r="4">
      <c r="A4" s="222" t="n">
        <v>2005</v>
      </c>
      <c r="B4" s="559" t="n">
        <v>316591</v>
      </c>
      <c r="C4" s="217" t="n">
        <v>13</v>
      </c>
      <c r="D4" s="560" t="n">
        <v>24353</v>
      </c>
      <c r="E4" s="561" t="inlineStr">
        <is>
          <t>문학</t>
        </is>
      </c>
      <c r="F4" s="507" t="n"/>
      <c r="G4" s="506" t="n"/>
      <c r="H4" s="559" t="n"/>
      <c r="I4" s="506" t="n"/>
      <c r="J4" s="506" t="n"/>
    </row>
    <row r="5">
      <c r="A5" s="222" t="n">
        <v>2006</v>
      </c>
      <c r="B5" s="559" t="n">
        <v>149559</v>
      </c>
      <c r="C5" s="217" t="n">
        <v>13</v>
      </c>
      <c r="D5" s="560" t="n">
        <v>11505</v>
      </c>
      <c r="E5" s="561" t="inlineStr">
        <is>
          <t>문학</t>
        </is>
      </c>
      <c r="F5" s="507" t="n"/>
      <c r="G5" s="506" t="n"/>
      <c r="H5" s="559" t="n"/>
      <c r="I5" s="506" t="n"/>
      <c r="J5" s="506" t="n"/>
    </row>
    <row r="6">
      <c r="A6" s="222" t="n">
        <v>2007</v>
      </c>
      <c r="B6" s="559" t="n">
        <v>216728</v>
      </c>
      <c r="C6" s="217" t="n">
        <v>13</v>
      </c>
      <c r="D6" s="560" t="n">
        <v>16671</v>
      </c>
      <c r="E6" s="561" t="inlineStr">
        <is>
          <t>문학</t>
        </is>
      </c>
      <c r="F6" s="507" t="n"/>
      <c r="G6" s="506" t="n"/>
      <c r="H6" s="559" t="n"/>
      <c r="I6" s="506" t="n"/>
      <c r="J6" s="562" t="n"/>
    </row>
    <row r="7">
      <c r="A7" s="222" t="n">
        <v>2008</v>
      </c>
      <c r="B7" s="559" t="n">
        <v>175023</v>
      </c>
      <c r="C7" s="217" t="n">
        <v>13</v>
      </c>
      <c r="D7" s="560" t="n">
        <v>13463</v>
      </c>
      <c r="E7" s="561" t="inlineStr">
        <is>
          <t>문학</t>
        </is>
      </c>
      <c r="F7" s="507" t="n"/>
      <c r="G7" s="506" t="n"/>
      <c r="H7" s="559" t="n"/>
      <c r="I7" s="506" t="n"/>
      <c r="J7" s="506" t="n"/>
    </row>
    <row r="8">
      <c r="A8" s="222" t="n">
        <v>2009</v>
      </c>
      <c r="B8" s="559" t="n">
        <v>146985</v>
      </c>
      <c r="C8" s="217" t="n">
        <v>14</v>
      </c>
      <c r="D8" s="560" t="n">
        <v>10499</v>
      </c>
      <c r="E8" s="561" t="inlineStr">
        <is>
          <t>문학</t>
        </is>
      </c>
      <c r="F8" s="507" t="n"/>
      <c r="G8" s="506" t="n"/>
      <c r="H8" s="559" t="n"/>
      <c r="I8" s="506" t="n"/>
      <c r="J8" s="563" t="n"/>
    </row>
    <row r="9">
      <c r="A9" s="222" t="n">
        <v>2010</v>
      </c>
      <c r="B9" s="559" t="n">
        <v>119990</v>
      </c>
      <c r="C9" s="217" t="n">
        <v>14</v>
      </c>
      <c r="D9" s="564" t="n">
        <v>8571</v>
      </c>
      <c r="E9" s="561" t="inlineStr">
        <is>
          <t>문학</t>
        </is>
      </c>
      <c r="F9" s="507" t="n"/>
      <c r="H9" s="559" t="n"/>
      <c r="I9" s="506" t="n"/>
      <c r="J9" s="562" t="n"/>
    </row>
    <row r="10">
      <c r="A10" s="222" t="n">
        <v>2011</v>
      </c>
      <c r="B10" s="559" t="n">
        <v>113432</v>
      </c>
      <c r="C10" s="217" t="n">
        <v>15</v>
      </c>
      <c r="D10" s="564" t="n">
        <v>7562</v>
      </c>
      <c r="E10" s="561" t="inlineStr">
        <is>
          <t>문학</t>
        </is>
      </c>
      <c r="F10" s="507" t="n"/>
    </row>
    <row r="11">
      <c r="A11" s="222" t="n">
        <v>2012</v>
      </c>
      <c r="B11" s="559" t="n">
        <v>82549</v>
      </c>
      <c r="C11" s="217" t="n">
        <v>22</v>
      </c>
      <c r="D11" s="564" t="n">
        <v>3752</v>
      </c>
      <c r="E11" s="565" t="inlineStr">
        <is>
          <t>숭의</t>
        </is>
      </c>
      <c r="F11" s="507" t="n"/>
    </row>
    <row r="12">
      <c r="A12" s="222" t="n">
        <v>2013</v>
      </c>
      <c r="B12" s="559" t="n">
        <v>134472</v>
      </c>
      <c r="C12" s="217" t="n">
        <v>19</v>
      </c>
      <c r="D12" s="564" t="n">
        <v>7077</v>
      </c>
      <c r="E12" s="565" t="inlineStr">
        <is>
          <t>숭의</t>
        </is>
      </c>
      <c r="F12" s="507" t="n"/>
    </row>
    <row r="13">
      <c r="A13" s="222" t="n">
        <v>2014</v>
      </c>
      <c r="B13" s="559" t="n">
        <v>86815</v>
      </c>
      <c r="C13" s="217" t="n">
        <v>19</v>
      </c>
      <c r="D13" s="564" t="n">
        <v>4569</v>
      </c>
      <c r="E13" s="565" t="inlineStr">
        <is>
          <t>숭의</t>
        </is>
      </c>
      <c r="F13" s="507" t="n"/>
    </row>
    <row r="14">
      <c r="A14" s="222" t="n">
        <v>2015</v>
      </c>
      <c r="B14" s="559" t="n">
        <v>97250</v>
      </c>
      <c r="C14" s="217" t="n">
        <v>20</v>
      </c>
      <c r="D14" s="564" t="n">
        <v>4863</v>
      </c>
      <c r="E14" s="565" t="inlineStr">
        <is>
          <t>숭의</t>
        </is>
      </c>
      <c r="F14" s="507" t="n"/>
    </row>
    <row r="15">
      <c r="A15" s="222" t="n">
        <v>2016</v>
      </c>
      <c r="B15" s="559" t="n">
        <v>121068</v>
      </c>
      <c r="C15" s="217" t="n">
        <v>20</v>
      </c>
      <c r="D15" s="564" t="n">
        <v>6053</v>
      </c>
      <c r="E15" s="565" t="inlineStr">
        <is>
          <t>숭의</t>
        </is>
      </c>
      <c r="F15" s="507" t="n"/>
    </row>
    <row r="16">
      <c r="A16" s="222" t="n">
        <v>2017</v>
      </c>
      <c r="B16" s="559" t="n">
        <v>70025</v>
      </c>
      <c r="C16" s="217" t="n">
        <v>19</v>
      </c>
      <c r="D16" s="564" t="n">
        <v>3686</v>
      </c>
      <c r="E16" s="565" t="inlineStr">
        <is>
          <t>숭의</t>
        </is>
      </c>
      <c r="F16" s="507" t="n"/>
    </row>
    <row r="17">
      <c r="A17" s="222" t="n">
        <v>2018</v>
      </c>
      <c r="B17" s="559" t="n">
        <v>84151</v>
      </c>
      <c r="C17" s="217" t="n">
        <v>19</v>
      </c>
      <c r="D17" s="564" t="n">
        <v>4429</v>
      </c>
      <c r="E17" s="565" t="inlineStr">
        <is>
          <t>숭의</t>
        </is>
      </c>
      <c r="F17" s="566" t="inlineStr">
        <is>
          <t>유료관중 집계</t>
        </is>
      </c>
    </row>
    <row r="18">
      <c r="A18" s="222" t="n">
        <v>2019</v>
      </c>
      <c r="B18" s="559" t="n">
        <v>161593</v>
      </c>
      <c r="C18" s="217" t="n">
        <v>19</v>
      </c>
      <c r="D18" s="564" t="n">
        <v>8505</v>
      </c>
      <c r="E18" s="565" t="inlineStr">
        <is>
          <t>숭의</t>
        </is>
      </c>
      <c r="F18" s="567" t="n"/>
    </row>
    <row r="19">
      <c r="A19" s="222" t="n">
        <v>2020</v>
      </c>
      <c r="B19" s="559" t="n">
        <v>6849</v>
      </c>
      <c r="C19" s="217" t="n">
        <v>13</v>
      </c>
      <c r="D19" s="564" t="n">
        <v>527</v>
      </c>
      <c r="E19" s="565" t="inlineStr">
        <is>
          <t>숭의</t>
        </is>
      </c>
      <c r="F19" s="567" t="inlineStr">
        <is>
          <t>코로나</t>
        </is>
      </c>
    </row>
    <row r="20">
      <c r="A20" s="222" t="n">
        <v>2021</v>
      </c>
      <c r="B20" s="559" t="n">
        <v>24925</v>
      </c>
      <c r="C20" s="217" t="n">
        <v>19</v>
      </c>
      <c r="D20" s="564" t="n">
        <v>1312</v>
      </c>
      <c r="E20" s="565" t="inlineStr">
        <is>
          <t>숭의</t>
        </is>
      </c>
      <c r="F20" s="567" t="inlineStr">
        <is>
          <t>코로나</t>
        </is>
      </c>
    </row>
    <row r="21">
      <c r="A21" s="222" t="n">
        <v>2022</v>
      </c>
      <c r="B21" s="559" t="n">
        <v>99968</v>
      </c>
      <c r="C21" s="217" t="n">
        <v>19</v>
      </c>
      <c r="D21" s="564" t="n">
        <v>5261</v>
      </c>
      <c r="E21" s="565" t="inlineStr">
        <is>
          <t>숭의</t>
        </is>
      </c>
      <c r="F21" s="507" t="n"/>
    </row>
    <row r="22">
      <c r="A22" s="222" t="n">
        <v>2023</v>
      </c>
      <c r="B22" s="559" t="n">
        <v>169826</v>
      </c>
      <c r="C22" s="217" t="n">
        <v>19</v>
      </c>
      <c r="D22" s="564" t="n">
        <v>8938</v>
      </c>
      <c r="E22" s="565" t="inlineStr">
        <is>
          <t>숭의</t>
        </is>
      </c>
      <c r="F22" s="507" t="n"/>
    </row>
    <row r="23">
      <c r="A23" s="222" t="n">
        <v>2024</v>
      </c>
      <c r="B23" s="559">
        <f>185155+8257</f>
        <v/>
      </c>
      <c r="C23" s="217" t="n">
        <v>18</v>
      </c>
      <c r="D23" s="568">
        <f>B23/C23</f>
        <v/>
      </c>
      <c r="E23" s="565" t="inlineStr">
        <is>
          <t>숭의</t>
        </is>
      </c>
      <c r="F23" s="566" t="inlineStr">
        <is>
          <t>잔여홈1경기</t>
        </is>
      </c>
    </row>
    <row r="24">
      <c r="B24" s="506" t="n"/>
    </row>
    <row r="25">
      <c r="B25" s="563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4" min="13" max="13"/>
    <col width="5.5" bestFit="1" customWidth="1" style="474" min="14" max="14"/>
    <col width="4" bestFit="1" customWidth="1" style="474" min="15" max="17"/>
    <col width="5.5" bestFit="1" customWidth="1" style="474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4" min="12" max="18"/>
    <col width="7.08203125" customWidth="1" style="474" min="19" max="20"/>
    <col width="8.83203125" customWidth="1" style="474" min="21" max="21"/>
    <col width="9.83203125" bestFit="1" customWidth="1" style="474" min="22" max="22"/>
    <col width="12.58203125" bestFit="1" customWidth="1" style="474" min="23" max="23"/>
    <col width="11" bestFit="1" customWidth="1" style="474" min="24" max="24"/>
    <col width="5.5" bestFit="1" customWidth="1" style="474" min="25" max="27"/>
    <col width="9.25" bestFit="1" customWidth="1" style="474" min="28" max="28"/>
    <col width="8.25" bestFit="1" customWidth="1" style="474" min="29" max="29"/>
    <col width="9.25" bestFit="1" customWidth="1" style="474" min="30" max="30"/>
    <col width="5.5" bestFit="1" customWidth="1" style="474" min="31" max="31"/>
    <col width="3.25" bestFit="1" customWidth="1" style="474" min="32" max="33"/>
    <col width="3.58203125" bestFit="1" customWidth="1" style="474" min="34" max="34"/>
    <col width="6" bestFit="1" customWidth="1" style="474" min="35" max="35"/>
    <col hidden="1" width="8.58203125" customWidth="1" style="474" min="36" max="36"/>
  </cols>
  <sheetData>
    <row r="1" ht="17.5" customHeight="1" s="474" thickBot="1"/>
    <row r="2" ht="17.5" customHeight="1" s="474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0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2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69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2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69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2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2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69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2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2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2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69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2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69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2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2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69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4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4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0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4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2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4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4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4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2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4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4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2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4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2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4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4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2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69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2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2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2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69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2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69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2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2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69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2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69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2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2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69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2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4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4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4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1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2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4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2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4" thickBot="1">
      <c r="A40" s="100" t="inlineStr">
        <is>
          <t>K리그</t>
        </is>
      </c>
      <c r="B40" s="572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3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4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5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5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6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5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6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5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5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6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4" thickBot="1">
      <c r="A47" s="100" t="inlineStr">
        <is>
          <t>ACL</t>
        </is>
      </c>
      <c r="B47" s="577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1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78" t="n">
        <v>2460</v>
      </c>
    </row>
    <row r="49">
      <c r="A49" s="110" t="inlineStr">
        <is>
          <t>FA컵</t>
        </is>
      </c>
      <c r="B49" s="579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0" t="n">
        <v>3121</v>
      </c>
    </row>
    <row r="50" ht="17.5" customHeight="1" s="474" thickBot="1">
      <c r="A50" s="100" t="inlineStr">
        <is>
          <t>FA컵</t>
        </is>
      </c>
      <c r="B50" s="555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7">
        <f>SUMIFS(V3:V50,A3:A50,L53)</f>
        <v/>
      </c>
      <c r="O53" s="581">
        <f>N53/M53</f>
        <v/>
      </c>
      <c r="P53" s="508" t="n">
        <v>99968</v>
      </c>
      <c r="Q53" s="509">
        <f>P53/M53</f>
        <v/>
      </c>
      <c r="R53" s="582">
        <f>(N53-P53)/N53</f>
        <v/>
      </c>
      <c r="S53" s="583" t="n"/>
    </row>
    <row r="54">
      <c r="L54" s="132" t="inlineStr">
        <is>
          <t>ACL</t>
        </is>
      </c>
      <c r="M54" s="132" t="n">
        <v>4</v>
      </c>
      <c r="N54" s="584">
        <f>SUMIFS(V4:V51,A4:A51,L54)</f>
        <v/>
      </c>
      <c r="O54" s="585">
        <f>N54/M54</f>
        <v/>
      </c>
    </row>
    <row r="55">
      <c r="L55" s="2" t="inlineStr">
        <is>
          <t>FA컵</t>
        </is>
      </c>
      <c r="M55" s="2" t="n">
        <v>2</v>
      </c>
      <c r="N55" s="507">
        <f>SUMIFS(V3:V50,A3:A50,L55)</f>
        <v/>
      </c>
      <c r="O55" s="581">
        <f>N55/M55</f>
        <v/>
      </c>
    </row>
    <row r="56">
      <c r="L56" s="4" t="inlineStr">
        <is>
          <t>총합</t>
        </is>
      </c>
      <c r="M56" s="4">
        <f>SUM(M53:M55)</f>
        <v/>
      </c>
      <c r="N56" s="557">
        <f>SUM(N53:N55)</f>
        <v/>
      </c>
      <c r="O56" s="558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4" min="11" max="12"/>
    <col width="7.08203125" bestFit="1" customWidth="1" style="474" min="13" max="13"/>
    <col width="11" bestFit="1" customWidth="1" style="474" min="14" max="15"/>
    <col width="7.08203125" bestFit="1" customWidth="1" style="474" min="16" max="16"/>
    <col width="3.25" bestFit="1" customWidth="1" style="474" min="17" max="17"/>
    <col width="3.33203125" bestFit="1" customWidth="1" style="474" min="18" max="18"/>
    <col width="11" bestFit="1" customWidth="1" style="474" min="19" max="19"/>
    <col width="5.5" bestFit="1" customWidth="1" style="474" min="20" max="22"/>
    <col width="9.25" bestFit="1" customWidth="1" style="474" min="23" max="23"/>
    <col width="8.25" bestFit="1" customWidth="1" style="474" min="24" max="24"/>
    <col width="9.25" bestFit="1" customWidth="1" style="474" min="25" max="25"/>
    <col width="5.5" bestFit="1" customWidth="1" style="474" min="26" max="26"/>
    <col width="3.25" bestFit="1" customWidth="1" style="474" min="27" max="28"/>
    <col width="3.58203125" bestFit="1" customWidth="1" style="474" min="29" max="29"/>
    <col width="6" bestFit="1" customWidth="1" style="474" min="30" max="30"/>
    <col hidden="1" width="8.58203125" customWidth="1" style="474" min="31" max="31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6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6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6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6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6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6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6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6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6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6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6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7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7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7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7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7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7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7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7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7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7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7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6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6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6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6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6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6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6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6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6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6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6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88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88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88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7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88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4" thickBot="1">
      <c r="A40" s="589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4" min="11" max="11"/>
    <col width="10" customWidth="1" style="474" min="12" max="12"/>
    <col width="11" bestFit="1" customWidth="1" style="474" min="13" max="14"/>
    <col width="6.58203125" bestFit="1" customWidth="1" style="474" min="15" max="15"/>
    <col width="11" bestFit="1" customWidth="1" style="474" min="16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5.5" bestFit="1" customWidth="1" style="474" min="24" max="26"/>
    <col width="9.25" bestFit="1" customWidth="1" style="474" min="27" max="27"/>
    <col width="8.25" bestFit="1" customWidth="1" style="474" min="28" max="28"/>
    <col width="9.25" bestFit="1" customWidth="1" style="474" min="29" max="29"/>
    <col width="5.5" bestFit="1" customWidth="1" style="474" min="30" max="30"/>
    <col width="3.25" bestFit="1" customWidth="1" style="474" min="31" max="32"/>
    <col width="3.58203125" bestFit="1" customWidth="1" style="474" min="33" max="33"/>
    <col width="6" bestFit="1" customWidth="1" style="474" min="34" max="34"/>
    <col width="8.58203125" bestFit="1" customWidth="1" style="474" min="35" max="35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6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6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4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4" min="11" max="11"/>
    <col width="10" customWidth="1" style="474" min="12" max="12"/>
    <col width="11" bestFit="1" customWidth="1" style="474" min="13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5.5" bestFit="1" customWidth="1" style="474" min="24" max="26"/>
    <col width="9.25" bestFit="1" customWidth="1" style="474" min="27" max="27"/>
    <col width="8.25" bestFit="1" customWidth="1" style="474" min="28" max="28"/>
    <col width="9.25" bestFit="1" customWidth="1" style="474" min="29" max="29"/>
    <col width="5.5" bestFit="1" customWidth="1" style="474" min="30" max="30"/>
    <col width="3.25" bestFit="1" customWidth="1" style="474" min="31" max="32"/>
    <col width="3.58203125" bestFit="1" customWidth="1" style="474" min="33" max="33"/>
    <col width="6" bestFit="1" customWidth="1" style="474" min="34" max="34"/>
    <col width="8.58203125" bestFit="1" customWidth="1" style="474" min="35" max="35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6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6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4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4" min="11" max="13"/>
    <col width="6.58203125" bestFit="1" customWidth="1" style="474" min="14" max="15"/>
    <col width="11" bestFit="1" customWidth="1" style="474" min="16" max="16"/>
    <col width="6.58203125" bestFit="1" customWidth="1" style="474" min="17" max="20"/>
    <col width="3.25" bestFit="1" customWidth="1" style="474" min="21" max="21"/>
    <col width="3.33203125" bestFit="1" customWidth="1" style="474" min="22" max="22"/>
    <col width="11" bestFit="1" customWidth="1" style="474" min="23" max="23"/>
    <col width="7.33203125" bestFit="1" customWidth="1" style="474" min="24" max="24"/>
    <col width="3.5" customWidth="1" style="474" min="25" max="25"/>
    <col width="11" bestFit="1" customWidth="1" style="474" min="26" max="26"/>
    <col width="5.5" bestFit="1" customWidth="1" style="474" min="27" max="27"/>
    <col width="9.25" bestFit="1" customWidth="1" style="474" min="28" max="28"/>
    <col width="8.25" bestFit="1" customWidth="1" style="474" min="29" max="29"/>
    <col width="9.25" bestFit="1" customWidth="1" style="474" min="30" max="30"/>
    <col width="3.58203125" bestFit="1" customWidth="1" style="474" min="31" max="31"/>
    <col width="3.25" bestFit="1" customWidth="1" style="474" min="32" max="33"/>
    <col width="3.58203125" bestFit="1" customWidth="1" style="474" min="34" max="34"/>
    <col width="6" bestFit="1" customWidth="1" style="474" min="35" max="35"/>
    <col width="8.58203125" bestFit="1" customWidth="1" style="474" min="36" max="36"/>
  </cols>
  <sheetData>
    <row r="1" ht="17.5" customHeight="1" s="474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6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6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6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6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6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6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6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6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6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6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6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7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7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7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7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7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7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7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7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7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7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7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6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6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6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6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6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6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6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6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6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6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6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88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4" thickBot="1">
      <c r="A37" s="588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88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7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88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4" thickBot="1">
      <c r="A40" s="589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4" min="9" max="9"/>
    <col width="7" customWidth="1" style="474" min="10" max="10"/>
    <col width="11.25" bestFit="1" customWidth="1" style="474" min="11" max="11"/>
    <col width="5" bestFit="1" customWidth="1" style="474" min="12" max="12"/>
    <col width="3.25" bestFit="1" customWidth="1" style="474" min="13" max="14"/>
    <col width="3.33203125" bestFit="1" customWidth="1" style="474" min="15" max="15"/>
    <col width="5" bestFit="1" customWidth="1" style="474" min="16" max="16"/>
    <col width="6.75" bestFit="1" customWidth="1" style="474" min="17" max="17"/>
    <col width="9.25" bestFit="1" customWidth="1" style="474" min="18" max="18"/>
    <col width="5.5" bestFit="1" customWidth="1" style="474" min="19" max="20"/>
    <col width="4.75" customWidth="1" style="474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0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0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0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0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0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0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0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0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0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0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0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0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0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0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0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0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0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0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0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0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0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0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0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0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0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0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0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0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0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0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0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0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0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0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0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1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0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0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0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4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2026-08-16T07:32:08Z</dcterms:modified>
  <cp:lastModifiedBy>이 현우</cp:lastModifiedBy>
</cp:coreProperties>
</file>