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대시보드/인천 대시보드/"/>
    </mc:Choice>
  </mc:AlternateContent>
  <xr:revisionPtr revIDLastSave="2838" documentId="11_8F65F411949C34BE6811D451B49B60FD8FCD318E" xr6:coauthVersionLast="47" xr6:coauthVersionMax="47" xr10:uidLastSave="{686DAB2A-9FEE-475E-B94F-8A157C14F989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O36" i="16"/>
  <c r="N36" i="16"/>
  <c r="M36" i="16"/>
  <c r="S35" i="16"/>
  <c r="R35" i="16"/>
  <c r="O35" i="16"/>
  <c r="N35" i="16"/>
  <c r="M35" i="16"/>
  <c r="S34" i="16"/>
  <c r="R34" i="16"/>
  <c r="O34" i="16"/>
  <c r="N34" i="16"/>
  <c r="M34" i="16"/>
  <c r="S33" i="16"/>
  <c r="R33" i="16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M18" i="16"/>
  <c r="O17" i="16"/>
  <c r="N17" i="16"/>
  <c r="M17" i="16"/>
  <c r="O14" i="16"/>
  <c r="N14" i="16"/>
  <c r="P14" i="16" s="1"/>
  <c r="M14" i="16"/>
  <c r="O13" i="16"/>
  <c r="N13" i="16"/>
  <c r="M13" i="16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O4" i="16"/>
  <c r="N4" i="16"/>
  <c r="M4" i="16"/>
  <c r="O3" i="16"/>
  <c r="O7" i="16" s="1"/>
  <c r="N3" i="16"/>
  <c r="M3" i="16"/>
  <c r="M7" i="16" s="1"/>
  <c r="Q7" i="16" s="1"/>
  <c r="AL39" i="15"/>
  <c r="AK39" i="15"/>
  <c r="AH39" i="15"/>
  <c r="AG39" i="15"/>
  <c r="AF39" i="15"/>
  <c r="AL38" i="15"/>
  <c r="AK38" i="15"/>
  <c r="AH38" i="15"/>
  <c r="AG38" i="15"/>
  <c r="AF38" i="15"/>
  <c r="AL37" i="15"/>
  <c r="AK37" i="15"/>
  <c r="AH37" i="15"/>
  <c r="AG37" i="15"/>
  <c r="AF37" i="15"/>
  <c r="AI37" i="15" s="1"/>
  <c r="AA37" i="15"/>
  <c r="X37" i="15"/>
  <c r="AL36" i="15"/>
  <c r="AK36" i="15"/>
  <c r="AH36" i="15"/>
  <c r="AG36" i="15"/>
  <c r="AF36" i="15"/>
  <c r="AA36" i="15"/>
  <c r="X36" i="15"/>
  <c r="AL35" i="15"/>
  <c r="AK35" i="15"/>
  <c r="AH35" i="15"/>
  <c r="AG35" i="15"/>
  <c r="AF35" i="15"/>
  <c r="AA35" i="15"/>
  <c r="X35" i="15"/>
  <c r="AL34" i="15"/>
  <c r="AK34" i="15"/>
  <c r="AH34" i="15"/>
  <c r="AG34" i="15"/>
  <c r="AF34" i="15"/>
  <c r="AA34" i="15"/>
  <c r="X34" i="15"/>
  <c r="AL33" i="15"/>
  <c r="AK33" i="15"/>
  <c r="AH33" i="15"/>
  <c r="AG33" i="15"/>
  <c r="AF33" i="15"/>
  <c r="AA33" i="15"/>
  <c r="X33" i="15"/>
  <c r="AL32" i="15"/>
  <c r="AK32" i="15"/>
  <c r="AH32" i="15"/>
  <c r="AG32" i="15"/>
  <c r="AF32" i="15"/>
  <c r="AA32" i="15"/>
  <c r="X32" i="15"/>
  <c r="AL31" i="15"/>
  <c r="AK31" i="15"/>
  <c r="AH31" i="15"/>
  <c r="AG31" i="15"/>
  <c r="AF31" i="15"/>
  <c r="AA31" i="15"/>
  <c r="X31" i="15"/>
  <c r="AL30" i="15"/>
  <c r="AK30" i="15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A26" i="15"/>
  <c r="X26" i="15"/>
  <c r="AL25" i="15"/>
  <c r="AK25" i="15"/>
  <c r="AH25" i="15"/>
  <c r="AH27" i="15" s="1"/>
  <c r="AG25" i="15"/>
  <c r="AF25" i="15"/>
  <c r="AA25" i="15"/>
  <c r="X25" i="15"/>
  <c r="AA24" i="15"/>
  <c r="X24" i="15"/>
  <c r="AA23" i="15"/>
  <c r="X23" i="15"/>
  <c r="AS22" i="15"/>
  <c r="AR22" i="15"/>
  <c r="AQ22" i="15"/>
  <c r="AA22" i="15"/>
  <c r="X22" i="15"/>
  <c r="AS21" i="15"/>
  <c r="AR21" i="15"/>
  <c r="AQ21" i="15"/>
  <c r="AA21" i="15"/>
  <c r="X21" i="15"/>
  <c r="AT20" i="15"/>
  <c r="AS20" i="15"/>
  <c r="AR20" i="15"/>
  <c r="AQ20" i="15"/>
  <c r="AH20" i="15"/>
  <c r="AG20" i="15"/>
  <c r="AF20" i="15"/>
  <c r="AA20" i="15"/>
  <c r="X20" i="15"/>
  <c r="AS19" i="15"/>
  <c r="AR19" i="15"/>
  <c r="AQ19" i="15"/>
  <c r="AH19" i="15"/>
  <c r="AG19" i="15"/>
  <c r="AF19" i="15"/>
  <c r="AA19" i="15"/>
  <c r="X19" i="15"/>
  <c r="AS18" i="15"/>
  <c r="AR18" i="15"/>
  <c r="AQ18" i="15"/>
  <c r="AH18" i="15"/>
  <c r="AG18" i="15"/>
  <c r="AF18" i="15"/>
  <c r="AI18" i="15" s="1"/>
  <c r="AA18" i="15"/>
  <c r="X18" i="15"/>
  <c r="AS17" i="15"/>
  <c r="AR17" i="15"/>
  <c r="AQ17" i="15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S13" i="15"/>
  <c r="AR13" i="15"/>
  <c r="AP13" i="15" s="1"/>
  <c r="AQ13" i="15"/>
  <c r="AH13" i="15"/>
  <c r="AG13" i="15"/>
  <c r="AF13" i="15"/>
  <c r="AA13" i="15"/>
  <c r="X13" i="15"/>
  <c r="AS12" i="15"/>
  <c r="AR12" i="15"/>
  <c r="AQ12" i="15"/>
  <c r="AH12" i="15"/>
  <c r="AG12" i="15"/>
  <c r="AF12" i="15"/>
  <c r="AA12" i="15"/>
  <c r="X12" i="15"/>
  <c r="AS11" i="15"/>
  <c r="AR11" i="15"/>
  <c r="AQ11" i="15"/>
  <c r="AT11" i="15" s="1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T8" i="15" s="1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A6" i="15"/>
  <c r="X6" i="15"/>
  <c r="AS5" i="15"/>
  <c r="AR5" i="15"/>
  <c r="AQ5" i="15"/>
  <c r="AH5" i="15"/>
  <c r="AG5" i="15"/>
  <c r="AF5" i="15"/>
  <c r="AA5" i="15"/>
  <c r="X5" i="15"/>
  <c r="AS4" i="15"/>
  <c r="AR4" i="15"/>
  <c r="AQ4" i="15"/>
  <c r="AH4" i="15"/>
  <c r="AG4" i="15"/>
  <c r="AF4" i="15"/>
  <c r="AI4" i="15" s="1"/>
  <c r="AA4" i="15"/>
  <c r="X4" i="15"/>
  <c r="AS3" i="15"/>
  <c r="AR3" i="15"/>
  <c r="AQ3" i="15"/>
  <c r="AH3" i="15"/>
  <c r="AG3" i="15"/>
  <c r="AF3" i="15"/>
  <c r="AA3" i="15"/>
  <c r="X3" i="15"/>
  <c r="Y40" i="14"/>
  <c r="X40" i="14"/>
  <c r="Y39" i="14"/>
  <c r="X39" i="14"/>
  <c r="Y38" i="14"/>
  <c r="X38" i="14"/>
  <c r="Y37" i="14"/>
  <c r="X37" i="14"/>
  <c r="Y36" i="14"/>
  <c r="X36" i="14"/>
  <c r="Y35" i="14"/>
  <c r="X35" i="14"/>
  <c r="Z35" i="14" s="1"/>
  <c r="Y34" i="14"/>
  <c r="X34" i="14"/>
  <c r="Z34" i="14" s="1"/>
  <c r="Y33" i="14"/>
  <c r="X33" i="14"/>
  <c r="AK32" i="14"/>
  <c r="AJ32" i="14"/>
  <c r="AL32" i="14" s="1"/>
  <c r="AG32" i="14"/>
  <c r="AF32" i="14"/>
  <c r="AH32" i="14" s="1"/>
  <c r="AE32" i="14"/>
  <c r="Y32" i="14"/>
  <c r="X32" i="14"/>
  <c r="AK31" i="14"/>
  <c r="AJ31" i="14"/>
  <c r="AL31" i="14" s="1"/>
  <c r="AG31" i="14"/>
  <c r="AF31" i="14"/>
  <c r="AE31" i="14"/>
  <c r="Y31" i="14"/>
  <c r="X31" i="14"/>
  <c r="AK30" i="14"/>
  <c r="AJ30" i="14"/>
  <c r="AG30" i="14"/>
  <c r="AF30" i="14"/>
  <c r="AE30" i="14"/>
  <c r="Y30" i="14"/>
  <c r="X30" i="14"/>
  <c r="Y29" i="14"/>
  <c r="Z29" i="14" s="1"/>
  <c r="X29" i="14"/>
  <c r="Y28" i="14"/>
  <c r="X28" i="14"/>
  <c r="AK27" i="14"/>
  <c r="AJ27" i="14"/>
  <c r="AG27" i="14"/>
  <c r="AF27" i="14"/>
  <c r="AE27" i="14"/>
  <c r="AH27" i="14" s="1"/>
  <c r="Y27" i="14"/>
  <c r="X27" i="14"/>
  <c r="AK26" i="14"/>
  <c r="AJ26" i="14"/>
  <c r="AL26" i="14" s="1"/>
  <c r="AG26" i="14"/>
  <c r="AF26" i="14"/>
  <c r="AE26" i="14"/>
  <c r="Y26" i="14"/>
  <c r="X26" i="14"/>
  <c r="Y25" i="14"/>
  <c r="X25" i="14"/>
  <c r="Y24" i="14"/>
  <c r="X24" i="14"/>
  <c r="Y23" i="14"/>
  <c r="X23" i="14"/>
  <c r="Y22" i="14"/>
  <c r="X22" i="14"/>
  <c r="Y21" i="14"/>
  <c r="X21" i="14"/>
  <c r="Z21" i="14" s="1"/>
  <c r="Y20" i="14"/>
  <c r="X20" i="14"/>
  <c r="Y19" i="14"/>
  <c r="X19" i="14"/>
  <c r="Y18" i="14"/>
  <c r="X18" i="14"/>
  <c r="Y17" i="14"/>
  <c r="X17" i="14"/>
  <c r="Y16" i="14"/>
  <c r="X16" i="14"/>
  <c r="AR15" i="14"/>
  <c r="AQ15" i="14"/>
  <c r="AP15" i="14"/>
  <c r="Y15" i="14"/>
  <c r="X15" i="14"/>
  <c r="AG14" i="14"/>
  <c r="AF14" i="14"/>
  <c r="AE14" i="14"/>
  <c r="AH14" i="14" s="1"/>
  <c r="Y14" i="14"/>
  <c r="X14" i="14"/>
  <c r="AG13" i="14"/>
  <c r="AF13" i="14"/>
  <c r="AE13" i="14"/>
  <c r="Y13" i="14"/>
  <c r="X13" i="14"/>
  <c r="Y12" i="14"/>
  <c r="X12" i="14"/>
  <c r="Y11" i="14"/>
  <c r="X11" i="14"/>
  <c r="Y10" i="14"/>
  <c r="X10" i="14"/>
  <c r="AG9" i="14"/>
  <c r="AF9" i="14"/>
  <c r="AE9" i="14"/>
  <c r="Y9" i="14"/>
  <c r="X9" i="14"/>
  <c r="AG8" i="14"/>
  <c r="AF8" i="14"/>
  <c r="AE8" i="14"/>
  <c r="Y8" i="14"/>
  <c r="X8" i="14"/>
  <c r="Y7" i="14"/>
  <c r="X7" i="14"/>
  <c r="Y6" i="14"/>
  <c r="X6" i="14"/>
  <c r="Y5" i="14"/>
  <c r="X5" i="14"/>
  <c r="Z5" i="14" s="1"/>
  <c r="AG4" i="14"/>
  <c r="AF4" i="14"/>
  <c r="AE4" i="14"/>
  <c r="Y4" i="14"/>
  <c r="X4" i="14"/>
  <c r="AR3" i="14"/>
  <c r="AQ3" i="14"/>
  <c r="AP3" i="14"/>
  <c r="AO3" i="14" s="1"/>
  <c r="AG3" i="14"/>
  <c r="AF3" i="14"/>
  <c r="AE3" i="14"/>
  <c r="Y3" i="14"/>
  <c r="Z3" i="14" s="1"/>
  <c r="X3" i="14"/>
  <c r="Y40" i="13"/>
  <c r="X40" i="13"/>
  <c r="Y39" i="13"/>
  <c r="X39" i="13"/>
  <c r="Y38" i="13"/>
  <c r="X38" i="13"/>
  <c r="Y37" i="13"/>
  <c r="X37" i="13"/>
  <c r="Y36" i="13"/>
  <c r="Z36" i="13" s="1"/>
  <c r="X36" i="13"/>
  <c r="Y35" i="13"/>
  <c r="X35" i="13"/>
  <c r="Y34" i="13"/>
  <c r="X34" i="13"/>
  <c r="Z34" i="13" s="1"/>
  <c r="AK33" i="13"/>
  <c r="AJ33" i="13"/>
  <c r="AG33" i="13"/>
  <c r="AF33" i="13"/>
  <c r="AE33" i="13"/>
  <c r="Y33" i="13"/>
  <c r="X33" i="13"/>
  <c r="AK32" i="13"/>
  <c r="AJ32" i="13"/>
  <c r="AG32" i="13"/>
  <c r="AF32" i="13"/>
  <c r="AE32" i="13"/>
  <c r="Y32" i="13"/>
  <c r="Z32" i="13" s="1"/>
  <c r="X32" i="13"/>
  <c r="AK31" i="13"/>
  <c r="AJ31" i="13"/>
  <c r="AL31" i="13" s="1"/>
  <c r="AG31" i="13"/>
  <c r="AF31" i="13"/>
  <c r="AE31" i="13"/>
  <c r="AH31" i="13" s="1"/>
  <c r="Y31" i="13"/>
  <c r="X31" i="13"/>
  <c r="Z31" i="13" s="1"/>
  <c r="AK30" i="13"/>
  <c r="AJ30" i="13"/>
  <c r="AG30" i="13"/>
  <c r="AD30" i="13" s="1"/>
  <c r="AI30" i="13" s="1"/>
  <c r="AF30" i="13"/>
  <c r="AE30" i="13"/>
  <c r="Y30" i="13"/>
  <c r="X30" i="13"/>
  <c r="Y29" i="13"/>
  <c r="X29" i="13"/>
  <c r="Y28" i="13"/>
  <c r="X28" i="13"/>
  <c r="AK27" i="13"/>
  <c r="AJ27" i="13"/>
  <c r="AG27" i="13"/>
  <c r="AF27" i="13"/>
  <c r="AE27" i="13"/>
  <c r="Y27" i="13"/>
  <c r="X27" i="13"/>
  <c r="AK26" i="13"/>
  <c r="AJ26" i="13"/>
  <c r="AG26" i="13"/>
  <c r="AF26" i="13"/>
  <c r="AE26" i="13"/>
  <c r="AH26" i="13" s="1"/>
  <c r="Y26" i="13"/>
  <c r="X26" i="13"/>
  <c r="Y25" i="13"/>
  <c r="X25" i="13"/>
  <c r="Y24" i="13"/>
  <c r="X24" i="13"/>
  <c r="Z24" i="13" s="1"/>
  <c r="Y23" i="13"/>
  <c r="X23" i="13"/>
  <c r="Y22" i="13"/>
  <c r="X22" i="13"/>
  <c r="Z22" i="13" s="1"/>
  <c r="Y21" i="13"/>
  <c r="X21" i="13"/>
  <c r="Y20" i="13"/>
  <c r="X20" i="13"/>
  <c r="Y19" i="13"/>
  <c r="X19" i="13"/>
  <c r="Y18" i="13"/>
  <c r="X18" i="13"/>
  <c r="AR17" i="13"/>
  <c r="AQ17" i="13"/>
  <c r="AP17" i="13"/>
  <c r="Y17" i="13"/>
  <c r="X17" i="13"/>
  <c r="AR16" i="13"/>
  <c r="AQ16" i="13"/>
  <c r="AP16" i="13"/>
  <c r="Y16" i="13"/>
  <c r="X16" i="13"/>
  <c r="Z16" i="13" s="1"/>
  <c r="AR15" i="13"/>
  <c r="AQ15" i="13"/>
  <c r="AP15" i="13"/>
  <c r="Y15" i="13"/>
  <c r="X15" i="13"/>
  <c r="AG14" i="13"/>
  <c r="AF14" i="13"/>
  <c r="AE14" i="13"/>
  <c r="AD14" i="13" s="1"/>
  <c r="Y14" i="13"/>
  <c r="Z14" i="13" s="1"/>
  <c r="X14" i="13"/>
  <c r="AG13" i="13"/>
  <c r="AF13" i="13"/>
  <c r="AE13" i="13"/>
  <c r="AD13" i="13" s="1"/>
  <c r="AI13" i="13" s="1"/>
  <c r="Y13" i="13"/>
  <c r="X13" i="13"/>
  <c r="Y12" i="13"/>
  <c r="X12" i="13"/>
  <c r="Y11" i="13"/>
  <c r="X11" i="13"/>
  <c r="Y10" i="13"/>
  <c r="X10" i="13"/>
  <c r="AG9" i="13"/>
  <c r="AF9" i="13"/>
  <c r="AE9" i="13"/>
  <c r="Y9" i="13"/>
  <c r="X9" i="13"/>
  <c r="AG8" i="13"/>
  <c r="AF8" i="13"/>
  <c r="AE8" i="13"/>
  <c r="Y8" i="13"/>
  <c r="X8" i="13"/>
  <c r="Y7" i="13"/>
  <c r="X7" i="13"/>
  <c r="Y6" i="13"/>
  <c r="X6" i="13"/>
  <c r="Z6" i="13" s="1"/>
  <c r="AR5" i="13"/>
  <c r="AQ5" i="13"/>
  <c r="AP5" i="13"/>
  <c r="Y5" i="13"/>
  <c r="X5" i="13"/>
  <c r="AR4" i="13"/>
  <c r="AQ4" i="13"/>
  <c r="AP4" i="13"/>
  <c r="AG4" i="13"/>
  <c r="AF4" i="13"/>
  <c r="AE4" i="13"/>
  <c r="Y4" i="13"/>
  <c r="X4" i="13"/>
  <c r="AR3" i="13"/>
  <c r="AQ3" i="13"/>
  <c r="AP3" i="13"/>
  <c r="AO3" i="13" s="1"/>
  <c r="AT3" i="13" s="1"/>
  <c r="AG3" i="13"/>
  <c r="AF3" i="13"/>
  <c r="AE3" i="13"/>
  <c r="Y3" i="13"/>
  <c r="X3" i="13"/>
  <c r="AG40" i="12"/>
  <c r="AF40" i="12"/>
  <c r="AC40" i="12"/>
  <c r="AB40" i="12"/>
  <c r="AA40" i="12"/>
  <c r="U40" i="12"/>
  <c r="T40" i="12"/>
  <c r="AG39" i="12"/>
  <c r="AF39" i="12"/>
  <c r="AC39" i="12"/>
  <c r="AB39" i="12"/>
  <c r="AA39" i="12"/>
  <c r="U39" i="12"/>
  <c r="T39" i="12"/>
  <c r="V39" i="12" s="1"/>
  <c r="AG38" i="12"/>
  <c r="AF38" i="12"/>
  <c r="AC38" i="12"/>
  <c r="AB38" i="12"/>
  <c r="AA38" i="12"/>
  <c r="U38" i="12"/>
  <c r="T38" i="12"/>
  <c r="V38" i="12" s="1"/>
  <c r="AG37" i="12"/>
  <c r="AH37" i="12" s="1"/>
  <c r="AF37" i="12"/>
  <c r="AC37" i="12"/>
  <c r="AB37" i="12"/>
  <c r="AA37" i="12"/>
  <c r="U37" i="12"/>
  <c r="T37" i="12"/>
  <c r="AG36" i="12"/>
  <c r="AF36" i="12"/>
  <c r="AC36" i="12"/>
  <c r="AB36" i="12"/>
  <c r="AA36" i="12"/>
  <c r="Z36" i="12" s="1"/>
  <c r="AE36" i="12" s="1"/>
  <c r="U36" i="12"/>
  <c r="V36" i="12" s="1"/>
  <c r="T36" i="12"/>
  <c r="AG35" i="12"/>
  <c r="AF35" i="12"/>
  <c r="AH35" i="12" s="1"/>
  <c r="AC35" i="12"/>
  <c r="AB35" i="12"/>
  <c r="AA35" i="12"/>
  <c r="U35" i="12"/>
  <c r="T35" i="12"/>
  <c r="AG34" i="12"/>
  <c r="AF34" i="12"/>
  <c r="AC34" i="12"/>
  <c r="AB34" i="12"/>
  <c r="AA34" i="12"/>
  <c r="U34" i="12"/>
  <c r="T34" i="12"/>
  <c r="V34" i="12" s="1"/>
  <c r="AG33" i="12"/>
  <c r="AF33" i="12"/>
  <c r="AC33" i="12"/>
  <c r="AB33" i="12"/>
  <c r="AA33" i="12"/>
  <c r="U33" i="12"/>
  <c r="T33" i="12"/>
  <c r="AG32" i="12"/>
  <c r="AF32" i="12"/>
  <c r="AC32" i="12"/>
  <c r="AB32" i="12"/>
  <c r="AA32" i="12"/>
  <c r="U32" i="12"/>
  <c r="T32" i="12"/>
  <c r="AG31" i="12"/>
  <c r="AF31" i="12"/>
  <c r="AH31" i="12" s="1"/>
  <c r="AC31" i="12"/>
  <c r="AB31" i="12"/>
  <c r="AA31" i="12"/>
  <c r="U31" i="12"/>
  <c r="T31" i="12"/>
  <c r="V31" i="12" s="1"/>
  <c r="AG30" i="12"/>
  <c r="AH30" i="12" s="1"/>
  <c r="AF30" i="12"/>
  <c r="AC30" i="12"/>
  <c r="AB30" i="12"/>
  <c r="AA30" i="12"/>
  <c r="U30" i="12"/>
  <c r="T30" i="12"/>
  <c r="V30" i="12" s="1"/>
  <c r="U29" i="12"/>
  <c r="T29" i="12"/>
  <c r="U28" i="12"/>
  <c r="T28" i="12"/>
  <c r="V28" i="12" s="1"/>
  <c r="AG27" i="12"/>
  <c r="AF27" i="12"/>
  <c r="AF28" i="12" s="1"/>
  <c r="AC27" i="12"/>
  <c r="AC28" i="12" s="1"/>
  <c r="AB27" i="12"/>
  <c r="AA27" i="12"/>
  <c r="U27" i="12"/>
  <c r="T27" i="12"/>
  <c r="V27" i="12" s="1"/>
  <c r="AG26" i="12"/>
  <c r="AF26" i="12"/>
  <c r="AC26" i="12"/>
  <c r="AB26" i="12"/>
  <c r="AA26" i="12"/>
  <c r="U26" i="12"/>
  <c r="T26" i="12"/>
  <c r="V26" i="12" s="1"/>
  <c r="U25" i="12"/>
  <c r="T25" i="12"/>
  <c r="U24" i="12"/>
  <c r="T24" i="12"/>
  <c r="AN23" i="12"/>
  <c r="AM23" i="12"/>
  <c r="AL23" i="12"/>
  <c r="U23" i="12"/>
  <c r="T23" i="12"/>
  <c r="AN22" i="12"/>
  <c r="AM22" i="12"/>
  <c r="AL22" i="12"/>
  <c r="U22" i="12"/>
  <c r="T22" i="12"/>
  <c r="AN21" i="12"/>
  <c r="AM21" i="12"/>
  <c r="AL21" i="12"/>
  <c r="U21" i="12"/>
  <c r="T21" i="12"/>
  <c r="AN20" i="12"/>
  <c r="AM20" i="12"/>
  <c r="AL20" i="12"/>
  <c r="AO20" i="12" s="1"/>
  <c r="U20" i="12"/>
  <c r="T20" i="12"/>
  <c r="V20" i="12" s="1"/>
  <c r="AN19" i="12"/>
  <c r="AM19" i="12"/>
  <c r="AL19" i="12"/>
  <c r="U19" i="12"/>
  <c r="T19" i="12"/>
  <c r="V19" i="12" s="1"/>
  <c r="AN18" i="12"/>
  <c r="AM18" i="12"/>
  <c r="AL18" i="12"/>
  <c r="U18" i="12"/>
  <c r="T18" i="12"/>
  <c r="AN17" i="12"/>
  <c r="AM17" i="12"/>
  <c r="AL17" i="12"/>
  <c r="U17" i="12"/>
  <c r="T17" i="12"/>
  <c r="AN16" i="12"/>
  <c r="AM16" i="12"/>
  <c r="AL16" i="12"/>
  <c r="U16" i="12"/>
  <c r="T16" i="12"/>
  <c r="V16" i="12" s="1"/>
  <c r="AN15" i="12"/>
  <c r="AM15" i="12"/>
  <c r="AL15" i="12"/>
  <c r="AC15" i="12"/>
  <c r="AB15" i="12"/>
  <c r="AA15" i="12"/>
  <c r="U15" i="12"/>
  <c r="T15" i="12"/>
  <c r="AC14" i="12"/>
  <c r="AB14" i="12"/>
  <c r="AA14" i="12"/>
  <c r="U14" i="12"/>
  <c r="T14" i="12"/>
  <c r="AN13" i="12"/>
  <c r="AM13" i="12"/>
  <c r="AL13" i="12"/>
  <c r="AC13" i="12"/>
  <c r="AB13" i="12"/>
  <c r="AA13" i="12"/>
  <c r="U13" i="12"/>
  <c r="T13" i="12"/>
  <c r="AN12" i="12"/>
  <c r="AM12" i="12"/>
  <c r="AL12" i="12"/>
  <c r="U12" i="12"/>
  <c r="T12" i="12"/>
  <c r="AN11" i="12"/>
  <c r="AM11" i="12"/>
  <c r="AL11" i="12"/>
  <c r="U11" i="12"/>
  <c r="T11" i="12"/>
  <c r="AN10" i="12"/>
  <c r="AM10" i="12"/>
  <c r="AL10" i="12"/>
  <c r="AC10" i="12"/>
  <c r="AB10" i="12"/>
  <c r="AA10" i="12"/>
  <c r="U10" i="12"/>
  <c r="T10" i="12"/>
  <c r="AN9" i="12"/>
  <c r="AM9" i="12"/>
  <c r="AL9" i="12"/>
  <c r="AC9" i="12"/>
  <c r="AB9" i="12"/>
  <c r="AA9" i="12"/>
  <c r="U9" i="12"/>
  <c r="T9" i="12"/>
  <c r="AN8" i="12"/>
  <c r="AM8" i="12"/>
  <c r="AL8" i="12"/>
  <c r="AC8" i="12"/>
  <c r="AB8" i="12"/>
  <c r="AA8" i="12"/>
  <c r="U8" i="12"/>
  <c r="T8" i="12"/>
  <c r="AN7" i="12"/>
  <c r="AM7" i="12"/>
  <c r="AL7" i="12"/>
  <c r="U7" i="12"/>
  <c r="T7" i="12"/>
  <c r="AN6" i="12"/>
  <c r="AM6" i="12"/>
  <c r="AL6" i="12"/>
  <c r="U6" i="12"/>
  <c r="V6" i="12" s="1"/>
  <c r="T6" i="12"/>
  <c r="AN5" i="12"/>
  <c r="AM5" i="12"/>
  <c r="AL5" i="12"/>
  <c r="AC5" i="12"/>
  <c r="AB5" i="12"/>
  <c r="AA5" i="12"/>
  <c r="AD5" i="12" s="1"/>
  <c r="U5" i="12"/>
  <c r="T5" i="12"/>
  <c r="AN4" i="12"/>
  <c r="AM4" i="12"/>
  <c r="AL4" i="12"/>
  <c r="AC4" i="12"/>
  <c r="AB4" i="12"/>
  <c r="AA4" i="12"/>
  <c r="U4" i="12"/>
  <c r="T4" i="12"/>
  <c r="V4" i="12" s="1"/>
  <c r="AN3" i="12"/>
  <c r="AM3" i="12"/>
  <c r="AL3" i="12"/>
  <c r="AC3" i="12"/>
  <c r="AB3" i="12"/>
  <c r="AA3" i="12"/>
  <c r="U3" i="12"/>
  <c r="T3" i="12"/>
  <c r="M56" i="11"/>
  <c r="N55" i="11"/>
  <c r="O55" i="11" s="1"/>
  <c r="N54" i="11"/>
  <c r="O54" i="11" s="1"/>
  <c r="Q53" i="11"/>
  <c r="N53" i="11"/>
  <c r="R53" i="11" s="1"/>
  <c r="AL47" i="11"/>
  <c r="AK47" i="11"/>
  <c r="AH47" i="11"/>
  <c r="AG47" i="11"/>
  <c r="AF47" i="11"/>
  <c r="AL46" i="11"/>
  <c r="AK46" i="11"/>
  <c r="AH46" i="11"/>
  <c r="AG46" i="11"/>
  <c r="AF46" i="11"/>
  <c r="AL45" i="11"/>
  <c r="AK45" i="11"/>
  <c r="AH45" i="11"/>
  <c r="AG45" i="11"/>
  <c r="AF45" i="11"/>
  <c r="AL44" i="11"/>
  <c r="AK44" i="11"/>
  <c r="AH44" i="11"/>
  <c r="AG44" i="11"/>
  <c r="AF44" i="11"/>
  <c r="AL43" i="11"/>
  <c r="AK43" i="11"/>
  <c r="AI43" i="11"/>
  <c r="AH43" i="11"/>
  <c r="AG43" i="11"/>
  <c r="AF43" i="11"/>
  <c r="AL42" i="11"/>
  <c r="AK42" i="11"/>
  <c r="AH42" i="11"/>
  <c r="AG42" i="11"/>
  <c r="AF42" i="11"/>
  <c r="AL41" i="11"/>
  <c r="AK41" i="11"/>
  <c r="AH41" i="11"/>
  <c r="AG41" i="11"/>
  <c r="AF41" i="11"/>
  <c r="AL40" i="11"/>
  <c r="AK40" i="11"/>
  <c r="AH40" i="11"/>
  <c r="AG40" i="11"/>
  <c r="AF40" i="11"/>
  <c r="Z40" i="11"/>
  <c r="Y40" i="11"/>
  <c r="AL39" i="11"/>
  <c r="AK39" i="11"/>
  <c r="AH39" i="11"/>
  <c r="AG39" i="11"/>
  <c r="AF39" i="11"/>
  <c r="Z39" i="11"/>
  <c r="Y39" i="11"/>
  <c r="AL38" i="11"/>
  <c r="AK38" i="11"/>
  <c r="AM38" i="11" s="1"/>
  <c r="AH38" i="11"/>
  <c r="AG38" i="11"/>
  <c r="AF38" i="11"/>
  <c r="Z38" i="11"/>
  <c r="Y38" i="11"/>
  <c r="AL37" i="11"/>
  <c r="AK37" i="11"/>
  <c r="AH37" i="11"/>
  <c r="AG37" i="11"/>
  <c r="AF37" i="11"/>
  <c r="Z37" i="11"/>
  <c r="Y37" i="11"/>
  <c r="AL36" i="11"/>
  <c r="AK36" i="11"/>
  <c r="AH36" i="11"/>
  <c r="AG36" i="11"/>
  <c r="AF36" i="11"/>
  <c r="Z36" i="11"/>
  <c r="Y36" i="11"/>
  <c r="AL35" i="11"/>
  <c r="AK35" i="11"/>
  <c r="AH35" i="11"/>
  <c r="AG35" i="11"/>
  <c r="AF35" i="11"/>
  <c r="AI35" i="11" s="1"/>
  <c r="Z35" i="11"/>
  <c r="Y35" i="11"/>
  <c r="AL34" i="11"/>
  <c r="AM34" i="11" s="1"/>
  <c r="AK34" i="11"/>
  <c r="AH34" i="11"/>
  <c r="AG34" i="11"/>
  <c r="AF34" i="11"/>
  <c r="Z34" i="11"/>
  <c r="Y34" i="11"/>
  <c r="AL33" i="11"/>
  <c r="AK33" i="11"/>
  <c r="AH33" i="11"/>
  <c r="AG33" i="11"/>
  <c r="AF33" i="11"/>
  <c r="Z33" i="11"/>
  <c r="Y33" i="11"/>
  <c r="AL32" i="11"/>
  <c r="AK32" i="11"/>
  <c r="AH32" i="11"/>
  <c r="AG32" i="11"/>
  <c r="AI32" i="11" s="1"/>
  <c r="AF32" i="11"/>
  <c r="Z32" i="11"/>
  <c r="Y32" i="11"/>
  <c r="AA32" i="11" s="1"/>
  <c r="AL31" i="11"/>
  <c r="AK31" i="11"/>
  <c r="AH31" i="11"/>
  <c r="AG31" i="11"/>
  <c r="AF31" i="11"/>
  <c r="Z31" i="11"/>
  <c r="Y31" i="11"/>
  <c r="AL30" i="11"/>
  <c r="AK30" i="11"/>
  <c r="AH30" i="11"/>
  <c r="AG30" i="11"/>
  <c r="AF30" i="11"/>
  <c r="Z30" i="11"/>
  <c r="Y30" i="11"/>
  <c r="AA30" i="11" s="1"/>
  <c r="AV29" i="11"/>
  <c r="AU29" i="11"/>
  <c r="AT29" i="11"/>
  <c r="Z29" i="11"/>
  <c r="Y29" i="11"/>
  <c r="AV28" i="11"/>
  <c r="AU28" i="11"/>
  <c r="AT28" i="11"/>
  <c r="AW28" i="11" s="1"/>
  <c r="AI28" i="11"/>
  <c r="Z28" i="11"/>
  <c r="Y28" i="11"/>
  <c r="AV27" i="11"/>
  <c r="AU27" i="11"/>
  <c r="AT27" i="11"/>
  <c r="AL27" i="11"/>
  <c r="AK27" i="11"/>
  <c r="AM27" i="11" s="1"/>
  <c r="AH27" i="11"/>
  <c r="AG27" i="11"/>
  <c r="AF27" i="11"/>
  <c r="Z27" i="11"/>
  <c r="Y27" i="11"/>
  <c r="AA27" i="11" s="1"/>
  <c r="AV26" i="11"/>
  <c r="AU26" i="11"/>
  <c r="AT26" i="11"/>
  <c r="AL26" i="11"/>
  <c r="AL28" i="11" s="1"/>
  <c r="AK26" i="11"/>
  <c r="AH26" i="11"/>
  <c r="AG26" i="11"/>
  <c r="AF26" i="11"/>
  <c r="Z26" i="11"/>
  <c r="Y26" i="11"/>
  <c r="AA26" i="11" s="1"/>
  <c r="AV25" i="11"/>
  <c r="AU25" i="11"/>
  <c r="AT25" i="11"/>
  <c r="Z25" i="11"/>
  <c r="Y25" i="11"/>
  <c r="AV24" i="11"/>
  <c r="AU24" i="11"/>
  <c r="AT24" i="11"/>
  <c r="AW24" i="11" s="1"/>
  <c r="Z24" i="11"/>
  <c r="Y24" i="11"/>
  <c r="AV23" i="11"/>
  <c r="AU23" i="11"/>
  <c r="AW23" i="11" s="1"/>
  <c r="AT23" i="11"/>
  <c r="Z23" i="11"/>
  <c r="Y23" i="11"/>
  <c r="AV22" i="11"/>
  <c r="AU22" i="11"/>
  <c r="AT22" i="11"/>
  <c r="Z22" i="11"/>
  <c r="Y22" i="11"/>
  <c r="AV21" i="11"/>
  <c r="AU21" i="11"/>
  <c r="AT21" i="11"/>
  <c r="Z21" i="11"/>
  <c r="Y21" i="11"/>
  <c r="AV20" i="11"/>
  <c r="AU20" i="11"/>
  <c r="AT20" i="11"/>
  <c r="AH20" i="11"/>
  <c r="AG20" i="11"/>
  <c r="AF20" i="11"/>
  <c r="Z20" i="11"/>
  <c r="Y20" i="11"/>
  <c r="AV19" i="11"/>
  <c r="AU19" i="11"/>
  <c r="AT19" i="11"/>
  <c r="AH19" i="11"/>
  <c r="AG19" i="11"/>
  <c r="AF19" i="11"/>
  <c r="Z19" i="11"/>
  <c r="Y19" i="11"/>
  <c r="AH18" i="11"/>
  <c r="AG18" i="11"/>
  <c r="AF18" i="11"/>
  <c r="Z18" i="11"/>
  <c r="Y18" i="11"/>
  <c r="AA18" i="11" s="1"/>
  <c r="AV17" i="11"/>
  <c r="AU17" i="11"/>
  <c r="AT17" i="11"/>
  <c r="AH17" i="11"/>
  <c r="AG17" i="11"/>
  <c r="AF17" i="11"/>
  <c r="AI17" i="11" s="1"/>
  <c r="Z17" i="11"/>
  <c r="Y17" i="11"/>
  <c r="AA17" i="11" s="1"/>
  <c r="AV16" i="11"/>
  <c r="AU16" i="11"/>
  <c r="AT16" i="11"/>
  <c r="AW16" i="11" s="1"/>
  <c r="AH16" i="11"/>
  <c r="AG16" i="11"/>
  <c r="AF16" i="11"/>
  <c r="Z16" i="11"/>
  <c r="Y16" i="11"/>
  <c r="AV15" i="11"/>
  <c r="AU15" i="11"/>
  <c r="AT15" i="11"/>
  <c r="AW15" i="11" s="1"/>
  <c r="Z15" i="11"/>
  <c r="Y15" i="11"/>
  <c r="AV14" i="11"/>
  <c r="AU14" i="11"/>
  <c r="AT14" i="11"/>
  <c r="Z14" i="11"/>
  <c r="Y14" i="11"/>
  <c r="AV13" i="11"/>
  <c r="AU13" i="11"/>
  <c r="AT13" i="11"/>
  <c r="AW13" i="11" s="1"/>
  <c r="AH13" i="11"/>
  <c r="AG13" i="11"/>
  <c r="AF13" i="11"/>
  <c r="Z13" i="11"/>
  <c r="AA13" i="11" s="1"/>
  <c r="Y13" i="11"/>
  <c r="AV12" i="11"/>
  <c r="AU12" i="11"/>
  <c r="AT12" i="11"/>
  <c r="AH12" i="11"/>
  <c r="AG12" i="11"/>
  <c r="AF12" i="11"/>
  <c r="Z12" i="11"/>
  <c r="Y12" i="11"/>
  <c r="AV11" i="11"/>
  <c r="AU11" i="11"/>
  <c r="AT11" i="11"/>
  <c r="AH11" i="11"/>
  <c r="AG11" i="11"/>
  <c r="AF11" i="11"/>
  <c r="Z11" i="11"/>
  <c r="Y11" i="11"/>
  <c r="AV10" i="11"/>
  <c r="AU10" i="11"/>
  <c r="AT10" i="11"/>
  <c r="AH10" i="11"/>
  <c r="AG10" i="11"/>
  <c r="AF10" i="11"/>
  <c r="Z10" i="11"/>
  <c r="Y10" i="11"/>
  <c r="AA10" i="11" s="1"/>
  <c r="AV9" i="11"/>
  <c r="AU9" i="11"/>
  <c r="AT9" i="11"/>
  <c r="AH9" i="11"/>
  <c r="AG9" i="11"/>
  <c r="AF9" i="11"/>
  <c r="AI9" i="11" s="1"/>
  <c r="Z9" i="11"/>
  <c r="Y9" i="11"/>
  <c r="AV8" i="11"/>
  <c r="AU8" i="11"/>
  <c r="AT8" i="11"/>
  <c r="Z8" i="11"/>
  <c r="Y8" i="11"/>
  <c r="AA8" i="11" s="1"/>
  <c r="AV7" i="11"/>
  <c r="AU7" i="11"/>
  <c r="AT7" i="11"/>
  <c r="AW7" i="11" s="1"/>
  <c r="AH7" i="11"/>
  <c r="AG7" i="11"/>
  <c r="AF7" i="11"/>
  <c r="Z7" i="11"/>
  <c r="Y7" i="11"/>
  <c r="AV6" i="11"/>
  <c r="AU6" i="11"/>
  <c r="AT6" i="11"/>
  <c r="AH6" i="11"/>
  <c r="AG6" i="11"/>
  <c r="AF6" i="11"/>
  <c r="Z6" i="11"/>
  <c r="AA6" i="11" s="1"/>
  <c r="Y6" i="11"/>
  <c r="AV5" i="11"/>
  <c r="AU5" i="11"/>
  <c r="AT5" i="11"/>
  <c r="AH5" i="11"/>
  <c r="AG5" i="11"/>
  <c r="AF5" i="11"/>
  <c r="Z5" i="11"/>
  <c r="Y5" i="11"/>
  <c r="AV4" i="11"/>
  <c r="AU4" i="11"/>
  <c r="AT4" i="11"/>
  <c r="AH4" i="11"/>
  <c r="AG4" i="11"/>
  <c r="AF4" i="11"/>
  <c r="AE4" i="11" s="1"/>
  <c r="Z4" i="11"/>
  <c r="Y4" i="11"/>
  <c r="AA4" i="11" s="1"/>
  <c r="AV3" i="11"/>
  <c r="AU3" i="11"/>
  <c r="AT3" i="11"/>
  <c r="AH3" i="11"/>
  <c r="AG3" i="11"/>
  <c r="AF3" i="11"/>
  <c r="Z3" i="11"/>
  <c r="AA3" i="11" s="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V4" i="10" s="1"/>
  <c r="Q4" i="10"/>
  <c r="P4" i="10"/>
  <c r="O4" i="10"/>
  <c r="K4" i="10"/>
  <c r="G4" i="10"/>
  <c r="C4" i="10"/>
  <c r="H4" i="10" s="1"/>
  <c r="U3" i="10"/>
  <c r="T3" i="10"/>
  <c r="Q3" i="10"/>
  <c r="Q5" i="10" s="1"/>
  <c r="P3" i="10"/>
  <c r="O3" i="10"/>
  <c r="K3" i="10"/>
  <c r="G3" i="10"/>
  <c r="C3" i="10"/>
  <c r="H3" i="10" s="1"/>
  <c r="B23" i="9"/>
  <c r="D23" i="9" s="1"/>
  <c r="R50" i="7"/>
  <c r="N50" i="7"/>
  <c r="M50" i="7"/>
  <c r="R49" i="7"/>
  <c r="N49" i="7"/>
  <c r="O49" i="7" s="1"/>
  <c r="M49" i="7"/>
  <c r="AF43" i="7"/>
  <c r="AG43" i="7" s="1"/>
  <c r="AE43" i="7"/>
  <c r="AC43" i="7"/>
  <c r="AB43" i="7"/>
  <c r="AA43" i="7"/>
  <c r="Z43" i="7"/>
  <c r="AF42" i="7"/>
  <c r="AE42" i="7"/>
  <c r="AC42" i="7"/>
  <c r="AB42" i="7"/>
  <c r="AA42" i="7"/>
  <c r="Z42" i="7"/>
  <c r="Y42" i="7" s="1"/>
  <c r="AF41" i="7"/>
  <c r="AE41" i="7"/>
  <c r="AG41" i="7" s="1"/>
  <c r="AC41" i="7"/>
  <c r="AB41" i="7"/>
  <c r="AA41" i="7"/>
  <c r="Z41" i="7"/>
  <c r="AF40" i="7"/>
  <c r="AE40" i="7"/>
  <c r="AC40" i="7"/>
  <c r="AB40" i="7"/>
  <c r="AD40" i="7" s="1"/>
  <c r="AA40" i="7"/>
  <c r="Z40" i="7"/>
  <c r="AF39" i="7"/>
  <c r="AE39" i="7"/>
  <c r="AC39" i="7"/>
  <c r="AB39" i="7"/>
  <c r="AA39" i="7"/>
  <c r="Z39" i="7"/>
  <c r="AF38" i="7"/>
  <c r="AE38" i="7"/>
  <c r="AC38" i="7"/>
  <c r="AB38" i="7"/>
  <c r="AA38" i="7"/>
  <c r="Z38" i="7"/>
  <c r="Y38" i="7" s="1"/>
  <c r="AF37" i="7"/>
  <c r="AE37" i="7"/>
  <c r="AC37" i="7"/>
  <c r="AB37" i="7"/>
  <c r="AD37" i="7" s="1"/>
  <c r="AA37" i="7"/>
  <c r="Z37" i="7"/>
  <c r="AF36" i="7"/>
  <c r="AE36" i="7"/>
  <c r="AC36" i="7"/>
  <c r="AB36" i="7"/>
  <c r="AA36" i="7"/>
  <c r="Z36" i="7"/>
  <c r="Y36" i="7" s="1"/>
  <c r="AF35" i="7"/>
  <c r="AE35" i="7"/>
  <c r="AG35" i="7" s="1"/>
  <c r="AC35" i="7"/>
  <c r="AB35" i="7"/>
  <c r="AA35" i="7"/>
  <c r="Z35" i="7"/>
  <c r="AR34" i="7"/>
  <c r="AQ34" i="7"/>
  <c r="AN34" i="7"/>
  <c r="AM34" i="7"/>
  <c r="AL34" i="7"/>
  <c r="AF34" i="7"/>
  <c r="AE34" i="7"/>
  <c r="AG34" i="7" s="1"/>
  <c r="AC34" i="7"/>
  <c r="AB34" i="7"/>
  <c r="AA34" i="7"/>
  <c r="Z34" i="7"/>
  <c r="AR33" i="7"/>
  <c r="AQ33" i="7"/>
  <c r="AN33" i="7"/>
  <c r="AM33" i="7"/>
  <c r="AL33" i="7"/>
  <c r="AF33" i="7"/>
  <c r="AE33" i="7"/>
  <c r="AC33" i="7"/>
  <c r="AB33" i="7"/>
  <c r="AA33" i="7"/>
  <c r="Z33" i="7"/>
  <c r="AR32" i="7"/>
  <c r="AQ32" i="7"/>
  <c r="AN32" i="7"/>
  <c r="AM32" i="7"/>
  <c r="AL32" i="7"/>
  <c r="AF32" i="7"/>
  <c r="AE32" i="7"/>
  <c r="AC32" i="7"/>
  <c r="AB32" i="7"/>
  <c r="AA32" i="7"/>
  <c r="Z32" i="7"/>
  <c r="AR31" i="7"/>
  <c r="AQ31" i="7"/>
  <c r="AN31" i="7"/>
  <c r="AM31" i="7"/>
  <c r="AL31" i="7"/>
  <c r="AF31" i="7"/>
  <c r="AE31" i="7"/>
  <c r="AC31" i="7"/>
  <c r="AB31" i="7"/>
  <c r="AA31" i="7"/>
  <c r="Z31" i="7"/>
  <c r="AR30" i="7"/>
  <c r="AQ30" i="7"/>
  <c r="AN30" i="7"/>
  <c r="AM30" i="7"/>
  <c r="AL30" i="7"/>
  <c r="AF30" i="7"/>
  <c r="AE30" i="7"/>
  <c r="AC30" i="7"/>
  <c r="AB30" i="7"/>
  <c r="AA30" i="7"/>
  <c r="Z30" i="7"/>
  <c r="AR29" i="7"/>
  <c r="AQ29" i="7"/>
  <c r="AN29" i="7"/>
  <c r="AM29" i="7"/>
  <c r="AL29" i="7"/>
  <c r="AF29" i="7"/>
  <c r="AE29" i="7"/>
  <c r="AC29" i="7"/>
  <c r="AD29" i="7" s="1"/>
  <c r="AB29" i="7"/>
  <c r="AA29" i="7"/>
  <c r="Z29" i="7"/>
  <c r="AR28" i="7"/>
  <c r="AQ28" i="7"/>
  <c r="AN28" i="7"/>
  <c r="AM28" i="7"/>
  <c r="AL28" i="7"/>
  <c r="AF28" i="7"/>
  <c r="AG28" i="7" s="1"/>
  <c r="AE28" i="7"/>
  <c r="AC28" i="7"/>
  <c r="AB28" i="7"/>
  <c r="AA28" i="7"/>
  <c r="Z28" i="7"/>
  <c r="AR27" i="7"/>
  <c r="AQ27" i="7"/>
  <c r="AN27" i="7"/>
  <c r="AM27" i="7"/>
  <c r="AL27" i="7"/>
  <c r="AF27" i="7"/>
  <c r="AE27" i="7"/>
  <c r="AG27" i="7" s="1"/>
  <c r="AC27" i="7"/>
  <c r="AB27" i="7"/>
  <c r="AD27" i="7" s="1"/>
  <c r="AA27" i="7"/>
  <c r="Z27" i="7"/>
  <c r="AR26" i="7"/>
  <c r="AQ26" i="7"/>
  <c r="AN26" i="7"/>
  <c r="AM26" i="7"/>
  <c r="AL26" i="7"/>
  <c r="AF26" i="7"/>
  <c r="AE26" i="7"/>
  <c r="AC26" i="7"/>
  <c r="AB26" i="7"/>
  <c r="AA26" i="7"/>
  <c r="Z26" i="7"/>
  <c r="AR25" i="7"/>
  <c r="AQ25" i="7"/>
  <c r="AN25" i="7"/>
  <c r="AM25" i="7"/>
  <c r="AL25" i="7"/>
  <c r="AF25" i="7"/>
  <c r="AE25" i="7"/>
  <c r="AC25" i="7"/>
  <c r="AB25" i="7"/>
  <c r="AA25" i="7"/>
  <c r="Z25" i="7"/>
  <c r="AR24" i="7"/>
  <c r="AQ24" i="7"/>
  <c r="AN24" i="7"/>
  <c r="AM24" i="7"/>
  <c r="AL24" i="7"/>
  <c r="AF24" i="7"/>
  <c r="AE24" i="7"/>
  <c r="AC24" i="7"/>
  <c r="AB24" i="7"/>
  <c r="AA24" i="7"/>
  <c r="Z24" i="7"/>
  <c r="AF23" i="7"/>
  <c r="AE23" i="7"/>
  <c r="AC23" i="7"/>
  <c r="AB23" i="7"/>
  <c r="AA23" i="7"/>
  <c r="Z23" i="7"/>
  <c r="AF22" i="7"/>
  <c r="AE22" i="7"/>
  <c r="AC22" i="7"/>
  <c r="AB22" i="7"/>
  <c r="AA22" i="7"/>
  <c r="Z22" i="7"/>
  <c r="AR21" i="7"/>
  <c r="AQ21" i="7"/>
  <c r="AN21" i="7"/>
  <c r="AM21" i="7"/>
  <c r="AL21" i="7"/>
  <c r="AF21" i="7"/>
  <c r="AE21" i="7"/>
  <c r="AC21" i="7"/>
  <c r="AB21" i="7"/>
  <c r="AA21" i="7"/>
  <c r="Z21" i="7"/>
  <c r="AR20" i="7"/>
  <c r="AQ20" i="7"/>
  <c r="AN20" i="7"/>
  <c r="AM20" i="7"/>
  <c r="AM22" i="7" s="1"/>
  <c r="AL20" i="7"/>
  <c r="AF20" i="7"/>
  <c r="AE20" i="7"/>
  <c r="AC20" i="7"/>
  <c r="AB20" i="7"/>
  <c r="AA20" i="7"/>
  <c r="Z20" i="7"/>
  <c r="Y20" i="7" s="1"/>
  <c r="AF19" i="7"/>
  <c r="AE19" i="7"/>
  <c r="AC19" i="7"/>
  <c r="AB19" i="7"/>
  <c r="AA19" i="7"/>
  <c r="Z19" i="7"/>
  <c r="BB18" i="7"/>
  <c r="BA18" i="7"/>
  <c r="AZ18" i="7"/>
  <c r="AY18" i="7" s="1"/>
  <c r="AF18" i="7"/>
  <c r="AG18" i="7" s="1"/>
  <c r="AE18" i="7"/>
  <c r="AC18" i="7"/>
  <c r="AB18" i="7"/>
  <c r="AA18" i="7"/>
  <c r="Z18" i="7"/>
  <c r="BB17" i="7"/>
  <c r="BA17" i="7"/>
  <c r="AZ17" i="7"/>
  <c r="AY17" i="7" s="1"/>
  <c r="AF17" i="7"/>
  <c r="AG17" i="7" s="1"/>
  <c r="AE17" i="7"/>
  <c r="AC17" i="7"/>
  <c r="AB17" i="7"/>
  <c r="AA17" i="7"/>
  <c r="Z17" i="7"/>
  <c r="BB16" i="7"/>
  <c r="BA16" i="7"/>
  <c r="AZ16" i="7"/>
  <c r="AN16" i="7"/>
  <c r="AM16" i="7"/>
  <c r="AL16" i="7"/>
  <c r="AF16" i="7"/>
  <c r="AE16" i="7"/>
  <c r="AC16" i="7"/>
  <c r="AB16" i="7"/>
  <c r="AA16" i="7"/>
  <c r="Z16" i="7"/>
  <c r="BB15" i="7"/>
  <c r="BA15" i="7"/>
  <c r="AZ15" i="7"/>
  <c r="AN15" i="7"/>
  <c r="AM15" i="7"/>
  <c r="AL15" i="7"/>
  <c r="AK15" i="7" s="1"/>
  <c r="AF15" i="7"/>
  <c r="AE15" i="7"/>
  <c r="AG15" i="7" s="1"/>
  <c r="AC15" i="7"/>
  <c r="AB15" i="7"/>
  <c r="AD15" i="7" s="1"/>
  <c r="AA15" i="7"/>
  <c r="Z15" i="7"/>
  <c r="BB14" i="7"/>
  <c r="BA14" i="7"/>
  <c r="AZ14" i="7"/>
  <c r="AN14" i="7"/>
  <c r="AM14" i="7"/>
  <c r="AL14" i="7"/>
  <c r="AF14" i="7"/>
  <c r="AE14" i="7"/>
  <c r="AC14" i="7"/>
  <c r="AB14" i="7"/>
  <c r="AA14" i="7"/>
  <c r="Z14" i="7"/>
  <c r="Y14" i="7" s="1"/>
  <c r="BB13" i="7"/>
  <c r="BA13" i="7"/>
  <c r="AZ13" i="7"/>
  <c r="AN13" i="7"/>
  <c r="AM13" i="7"/>
  <c r="AL13" i="7"/>
  <c r="AF13" i="7"/>
  <c r="AE13" i="7"/>
  <c r="AG13" i="7" s="1"/>
  <c r="AC13" i="7"/>
  <c r="AB13" i="7"/>
  <c r="AA13" i="7"/>
  <c r="Z13" i="7"/>
  <c r="AF12" i="7"/>
  <c r="AE12" i="7"/>
  <c r="AC12" i="7"/>
  <c r="AB12" i="7"/>
  <c r="AA12" i="7"/>
  <c r="Z12" i="7"/>
  <c r="Y12" i="7" s="1"/>
  <c r="AN11" i="7"/>
  <c r="AM11" i="7"/>
  <c r="AL11" i="7"/>
  <c r="AF11" i="7"/>
  <c r="AE11" i="7"/>
  <c r="AC11" i="7"/>
  <c r="AB11" i="7"/>
  <c r="AA11" i="7"/>
  <c r="Z11" i="7"/>
  <c r="AN10" i="7"/>
  <c r="AM10" i="7"/>
  <c r="AL10" i="7"/>
  <c r="AF10" i="7"/>
  <c r="AG10" i="7" s="1"/>
  <c r="AE10" i="7"/>
  <c r="AC10" i="7"/>
  <c r="AB10" i="7"/>
  <c r="AA10" i="7"/>
  <c r="Z10" i="7"/>
  <c r="Y10" i="7" s="1"/>
  <c r="BB9" i="7"/>
  <c r="BA9" i="7"/>
  <c r="AZ9" i="7"/>
  <c r="AN9" i="7"/>
  <c r="AM9" i="7"/>
  <c r="AL9" i="7"/>
  <c r="AK9" i="7" s="1"/>
  <c r="AP9" i="7" s="1"/>
  <c r="AF9" i="7"/>
  <c r="AE9" i="7"/>
  <c r="AC9" i="7"/>
  <c r="AB9" i="7"/>
  <c r="AA9" i="7"/>
  <c r="Z9" i="7"/>
  <c r="BB8" i="7"/>
  <c r="BA8" i="7"/>
  <c r="AZ8" i="7"/>
  <c r="AN8" i="7"/>
  <c r="AM8" i="7"/>
  <c r="AL8" i="7"/>
  <c r="AF8" i="7"/>
  <c r="AE8" i="7"/>
  <c r="AC8" i="7"/>
  <c r="AB8" i="7"/>
  <c r="AA8" i="7"/>
  <c r="Z8" i="7"/>
  <c r="BB7" i="7"/>
  <c r="BA7" i="7"/>
  <c r="AZ7" i="7"/>
  <c r="BC7" i="7" s="1"/>
  <c r="AF7" i="7"/>
  <c r="AE7" i="7"/>
  <c r="AC7" i="7"/>
  <c r="AB7" i="7"/>
  <c r="AA7" i="7"/>
  <c r="Z7" i="7"/>
  <c r="Y7" i="7" s="1"/>
  <c r="BB6" i="7"/>
  <c r="BA6" i="7"/>
  <c r="AZ6" i="7"/>
  <c r="AY6" i="7" s="1"/>
  <c r="AN6" i="7"/>
  <c r="AM6" i="7"/>
  <c r="AL6" i="7"/>
  <c r="AK6" i="7"/>
  <c r="AF6" i="7"/>
  <c r="AE6" i="7"/>
  <c r="AC6" i="7"/>
  <c r="AB6" i="7"/>
  <c r="AA6" i="7"/>
  <c r="Z6" i="7"/>
  <c r="BB5" i="7"/>
  <c r="BA5" i="7"/>
  <c r="AZ5" i="7"/>
  <c r="AN5" i="7"/>
  <c r="AM5" i="7"/>
  <c r="AL5" i="7"/>
  <c r="AF5" i="7"/>
  <c r="AE5" i="7"/>
  <c r="AC5" i="7"/>
  <c r="AB5" i="7"/>
  <c r="AA5" i="7"/>
  <c r="Z5" i="7"/>
  <c r="Y5" i="7" s="1"/>
  <c r="BB4" i="7"/>
  <c r="BA4" i="7"/>
  <c r="AZ4" i="7"/>
  <c r="AN4" i="7"/>
  <c r="AM4" i="7"/>
  <c r="AL4" i="7"/>
  <c r="AF4" i="7"/>
  <c r="AE4" i="7"/>
  <c r="AC4" i="7"/>
  <c r="AD4" i="7" s="1"/>
  <c r="AB4" i="7"/>
  <c r="AA4" i="7"/>
  <c r="Z4" i="7"/>
  <c r="Y4" i="7" s="1"/>
  <c r="BB3" i="7"/>
  <c r="BA3" i="7"/>
  <c r="AZ3" i="7"/>
  <c r="AN3" i="7"/>
  <c r="AM3" i="7"/>
  <c r="AL3" i="7"/>
  <c r="AF3" i="7"/>
  <c r="AE3" i="7"/>
  <c r="AC3" i="7"/>
  <c r="AB3" i="7"/>
  <c r="AD3" i="7" s="1"/>
  <c r="AA3" i="7"/>
  <c r="Z3" i="7"/>
  <c r="O50" i="3"/>
  <c r="N50" i="3"/>
  <c r="O49" i="3"/>
  <c r="N49" i="3"/>
  <c r="AI43" i="3"/>
  <c r="AH43" i="3"/>
  <c r="AC43" i="3"/>
  <c r="AB43" i="3"/>
  <c r="AD43" i="3" s="1"/>
  <c r="AA43" i="3"/>
  <c r="AG43" i="3" s="1"/>
  <c r="Z43" i="3"/>
  <c r="AI42" i="3"/>
  <c r="AH42" i="3"/>
  <c r="AG42" i="3"/>
  <c r="AC42" i="3"/>
  <c r="AB42" i="3"/>
  <c r="AA42" i="3"/>
  <c r="Z42" i="3"/>
  <c r="AF42" i="3" s="1"/>
  <c r="AI41" i="3"/>
  <c r="AH41" i="3"/>
  <c r="AJ41" i="3" s="1"/>
  <c r="AC41" i="3"/>
  <c r="AB41" i="3"/>
  <c r="AA41" i="3"/>
  <c r="AG41" i="3" s="1"/>
  <c r="Z41" i="3"/>
  <c r="AF41" i="3" s="1"/>
  <c r="AE41" i="3" s="1"/>
  <c r="AI40" i="3"/>
  <c r="AH40" i="3"/>
  <c r="AJ40" i="3" s="1"/>
  <c r="AC40" i="3"/>
  <c r="AB40" i="3"/>
  <c r="AA40" i="3"/>
  <c r="AG40" i="3" s="1"/>
  <c r="Z40" i="3"/>
  <c r="AF40" i="3" s="1"/>
  <c r="AI39" i="3"/>
  <c r="AH39" i="3"/>
  <c r="AJ39" i="3" s="1"/>
  <c r="AC39" i="3"/>
  <c r="AB39" i="3"/>
  <c r="AD39" i="3" s="1"/>
  <c r="AA39" i="3"/>
  <c r="AG39" i="3" s="1"/>
  <c r="Z39" i="3"/>
  <c r="AF39" i="3" s="1"/>
  <c r="AI38" i="3"/>
  <c r="AH38" i="3"/>
  <c r="AF38" i="3"/>
  <c r="AC38" i="3"/>
  <c r="AB38" i="3"/>
  <c r="AA38" i="3"/>
  <c r="AG38" i="3" s="1"/>
  <c r="Z38" i="3"/>
  <c r="AI37" i="3"/>
  <c r="AH37" i="3"/>
  <c r="AC37" i="3"/>
  <c r="AB37" i="3"/>
  <c r="AA37" i="3"/>
  <c r="AG37" i="3" s="1"/>
  <c r="Z37" i="3"/>
  <c r="AF37" i="3" s="1"/>
  <c r="AI36" i="3"/>
  <c r="AH36" i="3"/>
  <c r="AC36" i="3"/>
  <c r="AB36" i="3"/>
  <c r="AA36" i="3"/>
  <c r="AG36" i="3" s="1"/>
  <c r="Z36" i="3"/>
  <c r="AF36" i="3" s="1"/>
  <c r="Y36" i="3"/>
  <c r="AI35" i="3"/>
  <c r="AH35" i="3"/>
  <c r="AC35" i="3"/>
  <c r="AB35" i="3"/>
  <c r="AA35" i="3"/>
  <c r="Z35" i="3"/>
  <c r="AF35" i="3" s="1"/>
  <c r="AI34" i="3"/>
  <c r="AH34" i="3"/>
  <c r="AC34" i="3"/>
  <c r="AB34" i="3"/>
  <c r="AD34" i="3" s="1"/>
  <c r="AA34" i="3"/>
  <c r="AG34" i="3" s="1"/>
  <c r="Z34" i="3"/>
  <c r="AF34" i="3" s="1"/>
  <c r="AE34" i="3" s="1"/>
  <c r="AI33" i="3"/>
  <c r="AH33" i="3"/>
  <c r="AJ33" i="3" s="1"/>
  <c r="AC33" i="3"/>
  <c r="AB33" i="3"/>
  <c r="AA33" i="3"/>
  <c r="AG33" i="3" s="1"/>
  <c r="Z33" i="3"/>
  <c r="AF33" i="3" s="1"/>
  <c r="AI32" i="3"/>
  <c r="AH32" i="3"/>
  <c r="AC32" i="3"/>
  <c r="AB32" i="3"/>
  <c r="AA32" i="3"/>
  <c r="Z32" i="3"/>
  <c r="AF32" i="3" s="1"/>
  <c r="AI31" i="3"/>
  <c r="AH31" i="3"/>
  <c r="AJ31" i="3" s="1"/>
  <c r="AC31" i="3"/>
  <c r="AB31" i="3"/>
  <c r="AA31" i="3"/>
  <c r="AG31" i="3" s="1"/>
  <c r="Z31" i="3"/>
  <c r="Y31" i="3" s="1"/>
  <c r="AI30" i="3"/>
  <c r="AH30" i="3"/>
  <c r="AC30" i="3"/>
  <c r="AB30" i="3"/>
  <c r="AA30" i="3"/>
  <c r="AG30" i="3" s="1"/>
  <c r="Z30" i="3"/>
  <c r="AF30" i="3" s="1"/>
  <c r="AI29" i="3"/>
  <c r="AH29" i="3"/>
  <c r="AJ29" i="3" s="1"/>
  <c r="AC29" i="3"/>
  <c r="AB29" i="3"/>
  <c r="AD29" i="3" s="1"/>
  <c r="AA29" i="3"/>
  <c r="Z29" i="3"/>
  <c r="AF29" i="3" s="1"/>
  <c r="AI28" i="3"/>
  <c r="AH28" i="3"/>
  <c r="AG28" i="3"/>
  <c r="AC28" i="3"/>
  <c r="AB28" i="3"/>
  <c r="AD28" i="3" s="1"/>
  <c r="AA28" i="3"/>
  <c r="Z28" i="3"/>
  <c r="AF28" i="3" s="1"/>
  <c r="AE28" i="3" s="1"/>
  <c r="AI27" i="3"/>
  <c r="AH27" i="3"/>
  <c r="AC27" i="3"/>
  <c r="AB27" i="3"/>
  <c r="AA27" i="3"/>
  <c r="AG27" i="3" s="1"/>
  <c r="Z27" i="3"/>
  <c r="AF27" i="3" s="1"/>
  <c r="AI26" i="3"/>
  <c r="AH26" i="3"/>
  <c r="AJ26" i="3" s="1"/>
  <c r="AC26" i="3"/>
  <c r="AB26" i="3"/>
  <c r="AD26" i="3" s="1"/>
  <c r="AA26" i="3"/>
  <c r="Z26" i="3"/>
  <c r="AF26" i="3" s="1"/>
  <c r="AI25" i="3"/>
  <c r="AH25" i="3"/>
  <c r="AC25" i="3"/>
  <c r="AB25" i="3"/>
  <c r="AA25" i="3"/>
  <c r="AG25" i="3" s="1"/>
  <c r="Z25" i="3"/>
  <c r="AF25" i="3" s="1"/>
  <c r="AE25" i="3" s="1"/>
  <c r="AI24" i="3"/>
  <c r="AH24" i="3"/>
  <c r="AC24" i="3"/>
  <c r="AB24" i="3"/>
  <c r="AA24" i="3"/>
  <c r="AG24" i="3" s="1"/>
  <c r="Z24" i="3"/>
  <c r="AF24" i="3" s="1"/>
  <c r="Y24" i="3"/>
  <c r="AI23" i="3"/>
  <c r="AH23" i="3"/>
  <c r="AC23" i="3"/>
  <c r="AB23" i="3"/>
  <c r="AD23" i="3" s="1"/>
  <c r="AA23" i="3"/>
  <c r="AG23" i="3" s="1"/>
  <c r="Z23" i="3"/>
  <c r="AF23" i="3" s="1"/>
  <c r="BE22" i="3"/>
  <c r="BD22" i="3"/>
  <c r="BC22" i="3"/>
  <c r="BF22" i="3" s="1"/>
  <c r="AI22" i="3"/>
  <c r="AH22" i="3"/>
  <c r="AC22" i="3"/>
  <c r="AB22" i="3"/>
  <c r="AA22" i="3"/>
  <c r="AG22" i="3" s="1"/>
  <c r="Z22" i="3"/>
  <c r="AF22" i="3" s="1"/>
  <c r="BE21" i="3"/>
  <c r="BD21" i="3"/>
  <c r="BC21" i="3"/>
  <c r="AI21" i="3"/>
  <c r="AH21" i="3"/>
  <c r="AJ21" i="3" s="1"/>
  <c r="AC21" i="3"/>
  <c r="AB21" i="3"/>
  <c r="AA21" i="3"/>
  <c r="AG21" i="3" s="1"/>
  <c r="Z21" i="3"/>
  <c r="AF21" i="3" s="1"/>
  <c r="BE20" i="3"/>
  <c r="BD20" i="3"/>
  <c r="BC20" i="3"/>
  <c r="BB20" i="3" s="1"/>
  <c r="AI20" i="3"/>
  <c r="AH20" i="3"/>
  <c r="AC20" i="3"/>
  <c r="AB20" i="3"/>
  <c r="AA20" i="3"/>
  <c r="AG20" i="3" s="1"/>
  <c r="Z20" i="3"/>
  <c r="AF20" i="3" s="1"/>
  <c r="BE19" i="3"/>
  <c r="BD19" i="3"/>
  <c r="BC19" i="3"/>
  <c r="AU19" i="3"/>
  <c r="AT19" i="3"/>
  <c r="AV19" i="3" s="1"/>
  <c r="AQ19" i="3"/>
  <c r="AP19" i="3"/>
  <c r="AO19" i="3"/>
  <c r="AI19" i="3"/>
  <c r="AH19" i="3"/>
  <c r="AC19" i="3"/>
  <c r="AB19" i="3"/>
  <c r="AA19" i="3"/>
  <c r="AG19" i="3" s="1"/>
  <c r="Z19" i="3"/>
  <c r="AF19" i="3" s="1"/>
  <c r="BE18" i="3"/>
  <c r="BD18" i="3"/>
  <c r="BC18" i="3"/>
  <c r="BF18" i="3" s="1"/>
  <c r="AU18" i="3"/>
  <c r="AT18" i="3"/>
  <c r="AQ18" i="3"/>
  <c r="AP18" i="3"/>
  <c r="AO18" i="3"/>
  <c r="AI18" i="3"/>
  <c r="AH18" i="3"/>
  <c r="AJ18" i="3" s="1"/>
  <c r="AC18" i="3"/>
  <c r="AD18" i="3" s="1"/>
  <c r="AB18" i="3"/>
  <c r="AA18" i="3"/>
  <c r="AG18" i="3" s="1"/>
  <c r="Z18" i="3"/>
  <c r="AF18" i="3" s="1"/>
  <c r="BE17" i="3"/>
  <c r="BD17" i="3"/>
  <c r="BF17" i="3" s="1"/>
  <c r="BC17" i="3"/>
  <c r="AU17" i="3"/>
  <c r="AT17" i="3"/>
  <c r="AQ17" i="3"/>
  <c r="AP17" i="3"/>
  <c r="AO17" i="3"/>
  <c r="AI17" i="3"/>
  <c r="AH17" i="3"/>
  <c r="AJ17" i="3" s="1"/>
  <c r="AF17" i="3"/>
  <c r="AC17" i="3"/>
  <c r="AB17" i="3"/>
  <c r="AD17" i="3" s="1"/>
  <c r="AA17" i="3"/>
  <c r="AG17" i="3" s="1"/>
  <c r="Z17" i="3"/>
  <c r="BE16" i="3"/>
  <c r="BD16" i="3"/>
  <c r="BC16" i="3"/>
  <c r="AU16" i="3"/>
  <c r="AT16" i="3"/>
  <c r="AQ16" i="3"/>
  <c r="AP16" i="3"/>
  <c r="AO16" i="3"/>
  <c r="AI16" i="3"/>
  <c r="AH16" i="3"/>
  <c r="AC16" i="3"/>
  <c r="AB16" i="3"/>
  <c r="AA16" i="3"/>
  <c r="AG16" i="3" s="1"/>
  <c r="Z16" i="3"/>
  <c r="Y16" i="3" s="1"/>
  <c r="BE15" i="3"/>
  <c r="BD15" i="3"/>
  <c r="BC15" i="3"/>
  <c r="AU15" i="3"/>
  <c r="AT15" i="3"/>
  <c r="AQ15" i="3"/>
  <c r="AP15" i="3"/>
  <c r="AO15" i="3"/>
  <c r="AI15" i="3"/>
  <c r="AH15" i="3"/>
  <c r="AC15" i="3"/>
  <c r="AB15" i="3"/>
  <c r="AA15" i="3"/>
  <c r="AG15" i="3" s="1"/>
  <c r="Z15" i="3"/>
  <c r="AF15" i="3" s="1"/>
  <c r="BE14" i="3"/>
  <c r="BD14" i="3"/>
  <c r="BC14" i="3"/>
  <c r="AU14" i="3"/>
  <c r="AT14" i="3"/>
  <c r="AQ14" i="3"/>
  <c r="AP14" i="3"/>
  <c r="AO14" i="3"/>
  <c r="AI14" i="3"/>
  <c r="AH14" i="3"/>
  <c r="AC14" i="3"/>
  <c r="AB14" i="3"/>
  <c r="AD14" i="3" s="1"/>
  <c r="AA14" i="3"/>
  <c r="AG14" i="3" s="1"/>
  <c r="Z14" i="3"/>
  <c r="BE13" i="3"/>
  <c r="BD13" i="3"/>
  <c r="BC13" i="3"/>
  <c r="BF13" i="3" s="1"/>
  <c r="AU13" i="3"/>
  <c r="AT13" i="3"/>
  <c r="AV13" i="3" s="1"/>
  <c r="AQ13" i="3"/>
  <c r="AP13" i="3"/>
  <c r="AO13" i="3"/>
  <c r="AI13" i="3"/>
  <c r="AH13" i="3"/>
  <c r="AC13" i="3"/>
  <c r="AB13" i="3"/>
  <c r="AA13" i="3"/>
  <c r="AG13" i="3" s="1"/>
  <c r="Z13" i="3"/>
  <c r="AF13" i="3" s="1"/>
  <c r="BE12" i="3"/>
  <c r="BD12" i="3"/>
  <c r="BC12" i="3"/>
  <c r="AU12" i="3"/>
  <c r="AT12" i="3"/>
  <c r="AQ12" i="3"/>
  <c r="AP12" i="3"/>
  <c r="AO12" i="3"/>
  <c r="AN12" i="3" s="1"/>
  <c r="AI12" i="3"/>
  <c r="AH12" i="3"/>
  <c r="AJ12" i="3" s="1"/>
  <c r="AC12" i="3"/>
  <c r="AB12" i="3"/>
  <c r="AD12" i="3" s="1"/>
  <c r="AA12" i="3"/>
  <c r="AG12" i="3" s="1"/>
  <c r="Z12" i="3"/>
  <c r="AF12" i="3" s="1"/>
  <c r="BE11" i="3"/>
  <c r="BD11" i="3"/>
  <c r="BC11" i="3"/>
  <c r="BB11" i="3"/>
  <c r="AU11" i="3"/>
  <c r="AT11" i="3"/>
  <c r="AQ11" i="3"/>
  <c r="AP11" i="3"/>
  <c r="AO11" i="3"/>
  <c r="AR11" i="3" s="1"/>
  <c r="AI11" i="3"/>
  <c r="AH11" i="3"/>
  <c r="AC11" i="3"/>
  <c r="AB11" i="3"/>
  <c r="AA11" i="3"/>
  <c r="AG11" i="3" s="1"/>
  <c r="Z11" i="3"/>
  <c r="AF11" i="3" s="1"/>
  <c r="BE10" i="3"/>
  <c r="BD10" i="3"/>
  <c r="BC10" i="3"/>
  <c r="AU10" i="3"/>
  <c r="AT10" i="3"/>
  <c r="AV10" i="3" s="1"/>
  <c r="AQ10" i="3"/>
  <c r="AP10" i="3"/>
  <c r="AO10" i="3"/>
  <c r="AI10" i="3"/>
  <c r="AH10" i="3"/>
  <c r="AC10" i="3"/>
  <c r="AB10" i="3"/>
  <c r="AA10" i="3"/>
  <c r="Y10" i="3" s="1"/>
  <c r="Z10" i="3"/>
  <c r="AF10" i="3" s="1"/>
  <c r="BE9" i="3"/>
  <c r="BD9" i="3"/>
  <c r="BC9" i="3"/>
  <c r="AU9" i="3"/>
  <c r="AT9" i="3"/>
  <c r="AQ9" i="3"/>
  <c r="AP9" i="3"/>
  <c r="AO9" i="3"/>
  <c r="AI9" i="3"/>
  <c r="AH9" i="3"/>
  <c r="AC9" i="3"/>
  <c r="AB9" i="3"/>
  <c r="AA9" i="3"/>
  <c r="AG9" i="3" s="1"/>
  <c r="Z9" i="3"/>
  <c r="AF9" i="3" s="1"/>
  <c r="BE8" i="3"/>
  <c r="BD8" i="3"/>
  <c r="BC8" i="3"/>
  <c r="BF8" i="3" s="1"/>
  <c r="AU8" i="3"/>
  <c r="AT8" i="3"/>
  <c r="AV8" i="3" s="1"/>
  <c r="AQ8" i="3"/>
  <c r="AP8" i="3"/>
  <c r="AO8" i="3"/>
  <c r="AI8" i="3"/>
  <c r="AH8" i="3"/>
  <c r="AJ8" i="3" s="1"/>
  <c r="AC8" i="3"/>
  <c r="AB8" i="3"/>
  <c r="AA8" i="3"/>
  <c r="AG8" i="3" s="1"/>
  <c r="Z8" i="3"/>
  <c r="BE7" i="3"/>
  <c r="BD7" i="3"/>
  <c r="BC7" i="3"/>
  <c r="AU7" i="3"/>
  <c r="AT7" i="3"/>
  <c r="AQ7" i="3"/>
  <c r="AP7" i="3"/>
  <c r="AO7" i="3"/>
  <c r="AI7" i="3"/>
  <c r="AH7" i="3"/>
  <c r="AC7" i="3"/>
  <c r="AB7" i="3"/>
  <c r="AA7" i="3"/>
  <c r="AG7" i="3" s="1"/>
  <c r="Z7" i="3"/>
  <c r="AF7" i="3" s="1"/>
  <c r="BE6" i="3"/>
  <c r="BD6" i="3"/>
  <c r="BC6" i="3"/>
  <c r="AI6" i="3"/>
  <c r="AH6" i="3"/>
  <c r="AC6" i="3"/>
  <c r="AB6" i="3"/>
  <c r="AA6" i="3"/>
  <c r="AG6" i="3" s="1"/>
  <c r="Z6" i="3"/>
  <c r="AF6" i="3" s="1"/>
  <c r="AE6" i="3" s="1"/>
  <c r="BE5" i="3"/>
  <c r="BD5" i="3"/>
  <c r="BC5" i="3"/>
  <c r="AI5" i="3"/>
  <c r="AH5" i="3"/>
  <c r="AC5" i="3"/>
  <c r="AB5" i="3"/>
  <c r="AD5" i="3" s="1"/>
  <c r="AA5" i="3"/>
  <c r="AG5" i="3" s="1"/>
  <c r="Z5" i="3"/>
  <c r="AF5" i="3" s="1"/>
  <c r="AE5" i="3" s="1"/>
  <c r="BE4" i="3"/>
  <c r="BD4" i="3"/>
  <c r="BC4" i="3"/>
  <c r="AU4" i="3"/>
  <c r="AT4" i="3"/>
  <c r="AV4" i="3" s="1"/>
  <c r="AQ4" i="3"/>
  <c r="AP4" i="3"/>
  <c r="AO4" i="3"/>
  <c r="AI4" i="3"/>
  <c r="AH4" i="3"/>
  <c r="AC4" i="3"/>
  <c r="AB4" i="3"/>
  <c r="AD4" i="3" s="1"/>
  <c r="AA4" i="3"/>
  <c r="AG4" i="3" s="1"/>
  <c r="Z4" i="3"/>
  <c r="AF4" i="3" s="1"/>
  <c r="BE3" i="3"/>
  <c r="BD3" i="3"/>
  <c r="BC3" i="3"/>
  <c r="AU3" i="3"/>
  <c r="AT3" i="3"/>
  <c r="AQ3" i="3"/>
  <c r="AP3" i="3"/>
  <c r="AO3" i="3"/>
  <c r="AI3" i="3"/>
  <c r="AH3" i="3"/>
  <c r="AC3" i="3"/>
  <c r="AB3" i="3"/>
  <c r="AD3" i="3" s="1"/>
  <c r="AA3" i="3"/>
  <c r="AG3" i="3" s="1"/>
  <c r="Z3" i="3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F37" i="1" s="1"/>
  <c r="AI36" i="1"/>
  <c r="AH36" i="1"/>
  <c r="AC36" i="1"/>
  <c r="AB36" i="1"/>
  <c r="AA36" i="1"/>
  <c r="AG36" i="1" s="1"/>
  <c r="Z36" i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F31" i="1" s="1"/>
  <c r="AI30" i="1"/>
  <c r="AH30" i="1"/>
  <c r="AC30" i="1"/>
  <c r="AB30" i="1"/>
  <c r="AA30" i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Y8" i="3" l="1"/>
  <c r="AV11" i="3"/>
  <c r="Y14" i="3"/>
  <c r="AJ15" i="3"/>
  <c r="AJ35" i="3"/>
  <c r="AD41" i="3"/>
  <c r="O51" i="3"/>
  <c r="AD7" i="7"/>
  <c r="AG25" i="7"/>
  <c r="Y27" i="7"/>
  <c r="AI16" i="11"/>
  <c r="V25" i="12"/>
  <c r="V29" i="12"/>
  <c r="AD32" i="12"/>
  <c r="AH39" i="12"/>
  <c r="Z25" i="13"/>
  <c r="P50" i="3"/>
  <c r="T50" i="3" s="1"/>
  <c r="AG30" i="7"/>
  <c r="Y32" i="7"/>
  <c r="AA40" i="11"/>
  <c r="AM46" i="11"/>
  <c r="AO11" i="12"/>
  <c r="AD14" i="12"/>
  <c r="AD4" i="13"/>
  <c r="AD32" i="13"/>
  <c r="AI32" i="13" s="1"/>
  <c r="Z37" i="13"/>
  <c r="AH4" i="14"/>
  <c r="Z36" i="14"/>
  <c r="AI6" i="15"/>
  <c r="Z26" i="13"/>
  <c r="Z30" i="13"/>
  <c r="Z23" i="14"/>
  <c r="BC23" i="3"/>
  <c r="AA22" i="11"/>
  <c r="Z26" i="12"/>
  <c r="AE26" i="12" s="1"/>
  <c r="AK28" i="14"/>
  <c r="Y42" i="3"/>
  <c r="AH30" i="13"/>
  <c r="Z32" i="14"/>
  <c r="Y3" i="7"/>
  <c r="Y12" i="3"/>
  <c r="AE18" i="3"/>
  <c r="AD36" i="3"/>
  <c r="AO27" i="7"/>
  <c r="Z12" i="14"/>
  <c r="Z25" i="14"/>
  <c r="V40" i="12"/>
  <c r="BF10" i="3"/>
  <c r="AE12" i="3"/>
  <c r="BF15" i="3"/>
  <c r="AJ25" i="3"/>
  <c r="Y34" i="3"/>
  <c r="AJ36" i="3"/>
  <c r="AD42" i="3"/>
  <c r="AG6" i="7"/>
  <c r="AG9" i="7"/>
  <c r="AD20" i="7"/>
  <c r="AS21" i="7"/>
  <c r="AW14" i="11"/>
  <c r="Z5" i="13"/>
  <c r="AJ28" i="13"/>
  <c r="Z40" i="13"/>
  <c r="Z17" i="14"/>
  <c r="AK22" i="12"/>
  <c r="AP22" i="12" s="1"/>
  <c r="AD38" i="12"/>
  <c r="AH33" i="13"/>
  <c r="Z26" i="14"/>
  <c r="Z40" i="14"/>
  <c r="AT12" i="15"/>
  <c r="Y8" i="7"/>
  <c r="Z3" i="13"/>
  <c r="AG39" i="7"/>
  <c r="N3" i="10"/>
  <c r="S3" i="10" s="1"/>
  <c r="Y6" i="3"/>
  <c r="AE17" i="3"/>
  <c r="AN18" i="3"/>
  <c r="AS18" i="3" s="1"/>
  <c r="AD5" i="7"/>
  <c r="AD8" i="7"/>
  <c r="AD22" i="7"/>
  <c r="AG26" i="7"/>
  <c r="Y28" i="7"/>
  <c r="AE10" i="11"/>
  <c r="AW17" i="11"/>
  <c r="AY17" i="11" s="1"/>
  <c r="AI36" i="11"/>
  <c r="V23" i="12"/>
  <c r="AH33" i="12"/>
  <c r="AH38" i="12"/>
  <c r="AD3" i="14"/>
  <c r="AI3" i="14" s="1"/>
  <c r="AE5" i="15"/>
  <c r="AJ5" i="15" s="1"/>
  <c r="AJ28" i="3"/>
  <c r="U5" i="10"/>
  <c r="AE19" i="15"/>
  <c r="AH28" i="11"/>
  <c r="BF19" i="3"/>
  <c r="AD10" i="3"/>
  <c r="AG37" i="7"/>
  <c r="AG40" i="7"/>
  <c r="AM31" i="11"/>
  <c r="AD3" i="12"/>
  <c r="AG28" i="12"/>
  <c r="AH36" i="12"/>
  <c r="Z23" i="13"/>
  <c r="AL30" i="14"/>
  <c r="Y22" i="7"/>
  <c r="Y35" i="3"/>
  <c r="Z35" i="13"/>
  <c r="AD14" i="14"/>
  <c r="AI14" i="14" s="1"/>
  <c r="AI17" i="15"/>
  <c r="AI38" i="15"/>
  <c r="V10" i="12"/>
  <c r="AY3" i="7"/>
  <c r="Z20" i="14"/>
  <c r="AG10" i="3"/>
  <c r="BB7" i="3"/>
  <c r="BG7" i="3" s="1"/>
  <c r="AD9" i="3"/>
  <c r="AV12" i="3"/>
  <c r="AN16" i="3"/>
  <c r="AV17" i="3"/>
  <c r="AD22" i="3"/>
  <c r="N51" i="3"/>
  <c r="AD17" i="7"/>
  <c r="Y21" i="7"/>
  <c r="AD25" i="7"/>
  <c r="AK28" i="7"/>
  <c r="AP28" i="7" s="1"/>
  <c r="AD30" i="7"/>
  <c r="V37" i="12"/>
  <c r="AH9" i="14"/>
  <c r="AO6" i="7"/>
  <c r="AQ6" i="7" s="1"/>
  <c r="AG11" i="7"/>
  <c r="AD24" i="7"/>
  <c r="AW10" i="11"/>
  <c r="AI20" i="11"/>
  <c r="AI30" i="11"/>
  <c r="AM32" i="11"/>
  <c r="AM37" i="11"/>
  <c r="AO17" i="13"/>
  <c r="AT17" i="13" s="1"/>
  <c r="Z19" i="14"/>
  <c r="AE6" i="15"/>
  <c r="AP9" i="15"/>
  <c r="AK3" i="12"/>
  <c r="AP3" i="12" s="1"/>
  <c r="AK5" i="12"/>
  <c r="AK8" i="12"/>
  <c r="AP8" i="12" s="1"/>
  <c r="Z40" i="12"/>
  <c r="AE40" i="12" s="1"/>
  <c r="AE28" i="14"/>
  <c r="AM33" i="15"/>
  <c r="P18" i="16"/>
  <c r="Y3" i="3"/>
  <c r="AJ7" i="3"/>
  <c r="AR8" i="3"/>
  <c r="BF12" i="3"/>
  <c r="AD31" i="3"/>
  <c r="AJ38" i="3"/>
  <c r="AJ43" i="3"/>
  <c r="AG8" i="7"/>
  <c r="AY9" i="7"/>
  <c r="BD9" i="7" s="1"/>
  <c r="AD32" i="7"/>
  <c r="AS33" i="7"/>
  <c r="AD41" i="7"/>
  <c r="AA9" i="11"/>
  <c r="AE13" i="11"/>
  <c r="AJ13" i="11" s="1"/>
  <c r="AA16" i="11"/>
  <c r="AM26" i="11"/>
  <c r="AM28" i="11" s="1"/>
  <c r="AM30" i="11"/>
  <c r="AA33" i="11"/>
  <c r="AM43" i="11"/>
  <c r="AI47" i="11"/>
  <c r="V11" i="12"/>
  <c r="AB28" i="12"/>
  <c r="Z9" i="13"/>
  <c r="Z4" i="14"/>
  <c r="AF28" i="14"/>
  <c r="AT6" i="15"/>
  <c r="AJ5" i="3"/>
  <c r="AE7" i="3"/>
  <c r="M51" i="7"/>
  <c r="AG5" i="7"/>
  <c r="AO8" i="7"/>
  <c r="AK24" i="7"/>
  <c r="AP24" i="7" s="1"/>
  <c r="Y26" i="7"/>
  <c r="AK27" i="7"/>
  <c r="AP27" i="7" s="1"/>
  <c r="AG32" i="7"/>
  <c r="Y34" i="7"/>
  <c r="AA24" i="11"/>
  <c r="AW26" i="11"/>
  <c r="AM35" i="11"/>
  <c r="AM47" i="11"/>
  <c r="V9" i="12"/>
  <c r="AK11" i="12"/>
  <c r="AP11" i="12" s="1"/>
  <c r="V14" i="12"/>
  <c r="Z31" i="12"/>
  <c r="AE31" i="12" s="1"/>
  <c r="Z18" i="13"/>
  <c r="AH30" i="14"/>
  <c r="AT15" i="15"/>
  <c r="AN22" i="7"/>
  <c r="AK32" i="7"/>
  <c r="AD36" i="7"/>
  <c r="AD39" i="7"/>
  <c r="V17" i="12"/>
  <c r="AK20" i="12"/>
  <c r="AP20" i="12" s="1"/>
  <c r="V24" i="12"/>
  <c r="AI10" i="15"/>
  <c r="AM31" i="15"/>
  <c r="AE34" i="15"/>
  <c r="BF21" i="3"/>
  <c r="BB9" i="3"/>
  <c r="AE13" i="3"/>
  <c r="AK6" i="12"/>
  <c r="Z9" i="12"/>
  <c r="AE9" i="12" s="1"/>
  <c r="AH32" i="13"/>
  <c r="Z15" i="14"/>
  <c r="P3" i="16"/>
  <c r="AF8" i="3"/>
  <c r="AE8" i="3" s="1"/>
  <c r="AD16" i="3"/>
  <c r="AD6" i="3"/>
  <c r="AD13" i="3"/>
  <c r="AF14" i="3"/>
  <c r="AE14" i="3" s="1"/>
  <c r="BB17" i="3"/>
  <c r="BB18" i="3"/>
  <c r="BG18" i="3" s="1"/>
  <c r="AD24" i="3"/>
  <c r="AD14" i="7"/>
  <c r="AR22" i="7"/>
  <c r="AS24" i="7"/>
  <c r="AD26" i="7"/>
  <c r="AA7" i="11"/>
  <c r="AS11" i="11"/>
  <c r="AA21" i="11"/>
  <c r="AM33" i="11"/>
  <c r="AM44" i="11"/>
  <c r="O53" i="11"/>
  <c r="Z4" i="12"/>
  <c r="AE4" i="12" s="1"/>
  <c r="V21" i="12"/>
  <c r="Z10" i="13"/>
  <c r="Z15" i="13"/>
  <c r="Z20" i="13"/>
  <c r="AK28" i="13"/>
  <c r="Z22" i="14"/>
  <c r="Z27" i="14"/>
  <c r="AE3" i="15"/>
  <c r="AP7" i="15"/>
  <c r="AD15" i="3"/>
  <c r="AO5" i="3"/>
  <c r="BF7" i="3"/>
  <c r="AJ14" i="3"/>
  <c r="AE19" i="3"/>
  <c r="AJ24" i="3"/>
  <c r="Y32" i="3"/>
  <c r="AJ34" i="3"/>
  <c r="AG4" i="7"/>
  <c r="AG12" i="7"/>
  <c r="AG14" i="7"/>
  <c r="Y19" i="7"/>
  <c r="AG22" i="7"/>
  <c r="Y37" i="7"/>
  <c r="AA14" i="11"/>
  <c r="AW21" i="11"/>
  <c r="AA34" i="11"/>
  <c r="AM41" i="11"/>
  <c r="AK9" i="12"/>
  <c r="V15" i="12"/>
  <c r="V18" i="12"/>
  <c r="Z11" i="13"/>
  <c r="AL30" i="13"/>
  <c r="Z33" i="13"/>
  <c r="AM25" i="15"/>
  <c r="AM34" i="15"/>
  <c r="BB13" i="3"/>
  <c r="BG13" i="3" s="1"/>
  <c r="P49" i="3"/>
  <c r="T49" i="3" s="1"/>
  <c r="BF4" i="3"/>
  <c r="AJ13" i="3"/>
  <c r="AJ20" i="3"/>
  <c r="AJ22" i="3"/>
  <c r="AD32" i="3"/>
  <c r="Y40" i="3"/>
  <c r="AG7" i="7"/>
  <c r="Y9" i="7"/>
  <c r="Y33" i="7"/>
  <c r="Y40" i="7"/>
  <c r="AA25" i="11"/>
  <c r="AE27" i="11"/>
  <c r="AN27" i="11" s="1"/>
  <c r="AA29" i="11"/>
  <c r="AA39" i="11"/>
  <c r="AI3" i="15"/>
  <c r="AK3" i="15" s="1"/>
  <c r="L13" i="16"/>
  <c r="Q13" i="16" s="1"/>
  <c r="T33" i="16"/>
  <c r="AV3" i="3"/>
  <c r="AV5" i="3" s="1"/>
  <c r="AE9" i="3"/>
  <c r="AD19" i="3"/>
  <c r="Y25" i="3"/>
  <c r="AJ27" i="3"/>
  <c r="AE40" i="3"/>
  <c r="AK4" i="7"/>
  <c r="AK10" i="7"/>
  <c r="AP10" i="7" s="1"/>
  <c r="AD19" i="7"/>
  <c r="AD21" i="7"/>
  <c r="Y23" i="7"/>
  <c r="AE3" i="11"/>
  <c r="AK7" i="12"/>
  <c r="Z15" i="12"/>
  <c r="AE15" i="12" s="1"/>
  <c r="AF28" i="13"/>
  <c r="AJ3" i="15"/>
  <c r="AK31" i="7"/>
  <c r="AD33" i="7"/>
  <c r="AI12" i="11"/>
  <c r="AS25" i="11"/>
  <c r="AX25" i="11" s="1"/>
  <c r="AM45" i="11"/>
  <c r="V22" i="12"/>
  <c r="Z39" i="12"/>
  <c r="AE39" i="12" s="1"/>
  <c r="AS3" i="13"/>
  <c r="AG28" i="13"/>
  <c r="Z7" i="14"/>
  <c r="AE35" i="15"/>
  <c r="AJ35" i="15" s="1"/>
  <c r="L5" i="16"/>
  <c r="Q5" i="16" s="1"/>
  <c r="AJ19" i="3"/>
  <c r="AD25" i="3"/>
  <c r="Y28" i="3"/>
  <c r="AD35" i="3"/>
  <c r="AD6" i="7"/>
  <c r="AK14" i="7"/>
  <c r="AG19" i="7"/>
  <c r="AS26" i="7"/>
  <c r="AS29" i="11"/>
  <c r="AX29" i="11" s="1"/>
  <c r="AA37" i="11"/>
  <c r="AE42" i="11"/>
  <c r="AJ42" i="11" s="1"/>
  <c r="V3" i="12"/>
  <c r="Z37" i="12"/>
  <c r="Z13" i="13"/>
  <c r="AL27" i="13"/>
  <c r="AV14" i="3"/>
  <c r="AD30" i="3"/>
  <c r="AJ42" i="3"/>
  <c r="AG3" i="7"/>
  <c r="AD16" i="7"/>
  <c r="AI10" i="11"/>
  <c r="AK10" i="11" s="1"/>
  <c r="AA15" i="11"/>
  <c r="AE17" i="11"/>
  <c r="AK17" i="11" s="1"/>
  <c r="AM42" i="11"/>
  <c r="AE46" i="11"/>
  <c r="AJ46" i="11" s="1"/>
  <c r="Z10" i="12"/>
  <c r="AE10" i="12" s="1"/>
  <c r="Z8" i="14"/>
  <c r="Y43" i="3"/>
  <c r="AD11" i="7"/>
  <c r="AK21" i="7"/>
  <c r="Y24" i="7"/>
  <c r="AK33" i="7"/>
  <c r="AP33" i="7" s="1"/>
  <c r="AW12" i="11"/>
  <c r="AM39" i="11"/>
  <c r="V33" i="12"/>
  <c r="AH13" i="13"/>
  <c r="AH13" i="14"/>
  <c r="AS17" i="11"/>
  <c r="AX17" i="11" s="1"/>
  <c r="Z38" i="14"/>
  <c r="AM30" i="15"/>
  <c r="Y15" i="3"/>
  <c r="Y18" i="3"/>
  <c r="AK29" i="7"/>
  <c r="AP29" i="7" s="1"/>
  <c r="AD43" i="7"/>
  <c r="AJ3" i="3"/>
  <c r="AJ4" i="3"/>
  <c r="AT5" i="3"/>
  <c r="Y7" i="3"/>
  <c r="Y9" i="3"/>
  <c r="BB12" i="3"/>
  <c r="BG12" i="3" s="1"/>
  <c r="Y19" i="3"/>
  <c r="AE38" i="3"/>
  <c r="AD9" i="7"/>
  <c r="AD18" i="7"/>
  <c r="AG20" i="7"/>
  <c r="AO21" i="7"/>
  <c r="AT21" i="7" s="1"/>
  <c r="AD28" i="7"/>
  <c r="AD38" i="7"/>
  <c r="AW29" i="11"/>
  <c r="AE34" i="11"/>
  <c r="AJ34" i="11" s="1"/>
  <c r="AM40" i="11"/>
  <c r="V5" i="12"/>
  <c r="Z14" i="12"/>
  <c r="AE14" i="12" s="1"/>
  <c r="AK23" i="12"/>
  <c r="AP23" i="12" s="1"/>
  <c r="Z30" i="12"/>
  <c r="AE30" i="12" s="1"/>
  <c r="AH34" i="12"/>
  <c r="AO16" i="13"/>
  <c r="Z16" i="14"/>
  <c r="AE4" i="15"/>
  <c r="AJ4" i="15" s="1"/>
  <c r="AE13" i="15"/>
  <c r="AJ13" i="15" s="1"/>
  <c r="T31" i="16"/>
  <c r="AI13" i="11"/>
  <c r="P51" i="3"/>
  <c r="AS15" i="11"/>
  <c r="AY15" i="11" s="1"/>
  <c r="AE19" i="11"/>
  <c r="AJ19" i="11" s="1"/>
  <c r="Z3" i="12"/>
  <c r="AE3" i="12" s="1"/>
  <c r="Z5" i="12"/>
  <c r="AE5" i="12" s="1"/>
  <c r="AH32" i="12"/>
  <c r="Z27" i="13"/>
  <c r="AI13" i="15"/>
  <c r="Y26" i="3"/>
  <c r="BB4" i="3"/>
  <c r="BG4" i="3" s="1"/>
  <c r="AR4" i="3"/>
  <c r="BB5" i="3"/>
  <c r="BG5" i="3" s="1"/>
  <c r="AD7" i="3"/>
  <c r="AD11" i="3"/>
  <c r="AD20" i="3"/>
  <c r="AJ23" i="3"/>
  <c r="Y30" i="3"/>
  <c r="Y41" i="3"/>
  <c r="AD12" i="7"/>
  <c r="BC16" i="7"/>
  <c r="AK25" i="7"/>
  <c r="AP25" i="7" s="1"/>
  <c r="AO29" i="7"/>
  <c r="AA5" i="11"/>
  <c r="AI19" i="11"/>
  <c r="AS24" i="11"/>
  <c r="AX24" i="11" s="1"/>
  <c r="AA28" i="11"/>
  <c r="AE32" i="11"/>
  <c r="AJ32" i="11" s="1"/>
  <c r="V8" i="12"/>
  <c r="AO9" i="12"/>
  <c r="V12" i="12"/>
  <c r="V35" i="12"/>
  <c r="AH3" i="13"/>
  <c r="Z33" i="14"/>
  <c r="AE17" i="15"/>
  <c r="AJ17" i="15" s="1"/>
  <c r="AP21" i="15"/>
  <c r="AU21" i="15" s="1"/>
  <c r="AI33" i="15"/>
  <c r="AM37" i="15"/>
  <c r="T35" i="16"/>
  <c r="AE7" i="11"/>
  <c r="AJ7" i="11" s="1"/>
  <c r="AS26" i="11"/>
  <c r="AX26" i="11" s="1"/>
  <c r="AM36" i="11"/>
  <c r="AK17" i="12"/>
  <c r="AP17" i="12" s="1"/>
  <c r="Z17" i="13"/>
  <c r="AD8" i="14"/>
  <c r="AI8" i="14" s="1"/>
  <c r="AD13" i="14"/>
  <c r="AI13" i="14" s="1"/>
  <c r="AD27" i="14"/>
  <c r="AI27" i="14" s="1"/>
  <c r="Z31" i="14"/>
  <c r="AP4" i="15"/>
  <c r="AU4" i="15" s="1"/>
  <c r="AE25" i="15"/>
  <c r="AI35" i="15"/>
  <c r="AE38" i="15"/>
  <c r="AJ38" i="15" s="1"/>
  <c r="L4" i="16"/>
  <c r="Q4" i="16" s="1"/>
  <c r="L19" i="16"/>
  <c r="Q19" i="16" s="1"/>
  <c r="T25" i="16"/>
  <c r="AD35" i="12"/>
  <c r="AG27" i="15"/>
  <c r="T39" i="16"/>
  <c r="AO5" i="13"/>
  <c r="AU17" i="15"/>
  <c r="AM35" i="15"/>
  <c r="T32" i="16"/>
  <c r="AH27" i="12"/>
  <c r="AD39" i="12"/>
  <c r="AS17" i="13"/>
  <c r="AU17" i="13" s="1"/>
  <c r="AL32" i="13"/>
  <c r="AH31" i="14"/>
  <c r="AT21" i="15"/>
  <c r="P19" i="16"/>
  <c r="R19" i="16" s="1"/>
  <c r="AE22" i="3"/>
  <c r="AE30" i="3"/>
  <c r="S49" i="7"/>
  <c r="AJ32" i="3"/>
  <c r="AE37" i="3"/>
  <c r="AF43" i="3"/>
  <c r="AE43" i="3" s="1"/>
  <c r="AK8" i="7"/>
  <c r="AP8" i="7" s="1"/>
  <c r="AO9" i="7"/>
  <c r="AQ9" i="7" s="1"/>
  <c r="Y11" i="7"/>
  <c r="AD13" i="7"/>
  <c r="AY15" i="7"/>
  <c r="BD15" i="7" s="1"/>
  <c r="AI39" i="11"/>
  <c r="AD33" i="12"/>
  <c r="Z9" i="14"/>
  <c r="Z14" i="14"/>
  <c r="AT4" i="15"/>
  <c r="AP17" i="15"/>
  <c r="AP19" i="15"/>
  <c r="AU19" i="15" s="1"/>
  <c r="AL27" i="15"/>
  <c r="P5" i="16"/>
  <c r="T36" i="16"/>
  <c r="AU5" i="3"/>
  <c r="AK34" i="7"/>
  <c r="AP34" i="7" s="1"/>
  <c r="P5" i="10"/>
  <c r="AA20" i="11"/>
  <c r="AE35" i="11"/>
  <c r="AJ35" i="11" s="1"/>
  <c r="AE37" i="11"/>
  <c r="AJ37" i="11" s="1"/>
  <c r="AO5" i="12"/>
  <c r="V13" i="12"/>
  <c r="AK18" i="12"/>
  <c r="AP18" i="12" s="1"/>
  <c r="AK21" i="12"/>
  <c r="AP21" i="12" s="1"/>
  <c r="Z7" i="13"/>
  <c r="Z38" i="13"/>
  <c r="AI36" i="15"/>
  <c r="AM38" i="15"/>
  <c r="T29" i="16"/>
  <c r="AG26" i="3"/>
  <c r="AE26" i="3" s="1"/>
  <c r="AJ30" i="3"/>
  <c r="AD37" i="3"/>
  <c r="AO4" i="7"/>
  <c r="AQ4" i="7" s="1"/>
  <c r="Y6" i="7"/>
  <c r="AS28" i="7"/>
  <c r="AS31" i="7"/>
  <c r="N51" i="7"/>
  <c r="AE20" i="11"/>
  <c r="AE45" i="11"/>
  <c r="AD10" i="12"/>
  <c r="AF10" i="12" s="1"/>
  <c r="Z12" i="13"/>
  <c r="Z28" i="13"/>
  <c r="AD33" i="13"/>
  <c r="AI33" i="13" s="1"/>
  <c r="Z39" i="13"/>
  <c r="AD9" i="14"/>
  <c r="AI9" i="14" s="1"/>
  <c r="AK15" i="12"/>
  <c r="AP15" i="12" s="1"/>
  <c r="Z4" i="13"/>
  <c r="Z8" i="13"/>
  <c r="AO15" i="13"/>
  <c r="AT15" i="13" s="1"/>
  <c r="Z19" i="13"/>
  <c r="AD26" i="13"/>
  <c r="AI26" i="13" s="1"/>
  <c r="AE12" i="15"/>
  <c r="AJ12" i="15" s="1"/>
  <c r="AP15" i="15"/>
  <c r="AU15" i="15" s="1"/>
  <c r="AE18" i="15"/>
  <c r="AJ18" i="15" s="1"/>
  <c r="AE26" i="15"/>
  <c r="AP26" i="15" s="1"/>
  <c r="AM29" i="15"/>
  <c r="AJ34" i="15"/>
  <c r="AE39" i="15"/>
  <c r="AJ39" i="15" s="1"/>
  <c r="P13" i="16"/>
  <c r="R13" i="16" s="1"/>
  <c r="BC9" i="7"/>
  <c r="BE9" i="7" s="1"/>
  <c r="AP22" i="15"/>
  <c r="AU22" i="15" s="1"/>
  <c r="AE32" i="15"/>
  <c r="AJ32" i="15" s="1"/>
  <c r="AM36" i="15"/>
  <c r="L14" i="16"/>
  <c r="BC4" i="7"/>
  <c r="Y29" i="3"/>
  <c r="AD33" i="3"/>
  <c r="AJ37" i="3"/>
  <c r="AI20" i="15"/>
  <c r="AE24" i="3"/>
  <c r="AR14" i="3"/>
  <c r="AV16" i="3"/>
  <c r="AS12" i="3"/>
  <c r="AO15" i="12"/>
  <c r="AJ14" i="14"/>
  <c r="BG11" i="3"/>
  <c r="BH17" i="3"/>
  <c r="AV18" i="3"/>
  <c r="AE42" i="3"/>
  <c r="BC8" i="7"/>
  <c r="AG21" i="7"/>
  <c r="AK30" i="7"/>
  <c r="AP30" i="7" s="1"/>
  <c r="Y35" i="7"/>
  <c r="C5" i="10"/>
  <c r="AI4" i="11"/>
  <c r="AK4" i="11" s="1"/>
  <c r="AE6" i="11"/>
  <c r="AJ6" i="11" s="1"/>
  <c r="AW8" i="11"/>
  <c r="AS16" i="11"/>
  <c r="AX16" i="11" s="1"/>
  <c r="AE31" i="11"/>
  <c r="AJ31" i="11" s="1"/>
  <c r="AK13" i="12"/>
  <c r="AP13" i="12" s="1"/>
  <c r="Z29" i="13"/>
  <c r="Z10" i="14"/>
  <c r="AG28" i="14"/>
  <c r="AT3" i="15"/>
  <c r="AI5" i="15"/>
  <c r="AK5" i="15" s="1"/>
  <c r="AI39" i="15"/>
  <c r="P7" i="16"/>
  <c r="R7" i="16" s="1"/>
  <c r="T30" i="16"/>
  <c r="AN10" i="3"/>
  <c r="AS10" i="3" s="1"/>
  <c r="AR7" i="3"/>
  <c r="AR13" i="3"/>
  <c r="AV15" i="3"/>
  <c r="BD3" i="7"/>
  <c r="BH7" i="3"/>
  <c r="BG9" i="3"/>
  <c r="BB14" i="3"/>
  <c r="BG14" i="3" s="1"/>
  <c r="Y17" i="3"/>
  <c r="Y38" i="3"/>
  <c r="Y43" i="7"/>
  <c r="K5" i="10"/>
  <c r="AE18" i="11"/>
  <c r="AJ18" i="11" s="1"/>
  <c r="AE40" i="11"/>
  <c r="AE43" i="11"/>
  <c r="AJ43" i="11" s="1"/>
  <c r="AK4" i="12"/>
  <c r="AP4" i="12" s="1"/>
  <c r="AK19" i="12"/>
  <c r="AP19" i="12" s="1"/>
  <c r="AO22" i="12"/>
  <c r="V32" i="12"/>
  <c r="AD36" i="12"/>
  <c r="AD8" i="13"/>
  <c r="AI8" i="13" s="1"/>
  <c r="AS15" i="13"/>
  <c r="AU15" i="13" s="1"/>
  <c r="AL33" i="13"/>
  <c r="Z6" i="14"/>
  <c r="AP20" i="15"/>
  <c r="AU20" i="15" s="1"/>
  <c r="AT22" i="15"/>
  <c r="AV22" i="15" s="1"/>
  <c r="AI26" i="15"/>
  <c r="AE30" i="15"/>
  <c r="AJ30" i="15" s="1"/>
  <c r="AI32" i="15"/>
  <c r="N26" i="16"/>
  <c r="AD34" i="7"/>
  <c r="AO10" i="7"/>
  <c r="AQ10" i="7" s="1"/>
  <c r="Y13" i="7"/>
  <c r="AI7" i="11"/>
  <c r="BG20" i="3"/>
  <c r="AN8" i="3"/>
  <c r="AS8" i="3" s="1"/>
  <c r="AG33" i="7"/>
  <c r="Y4" i="3"/>
  <c r="AV7" i="3"/>
  <c r="AV9" i="3"/>
  <c r="AG28" i="11"/>
  <c r="BB6" i="3"/>
  <c r="BG6" i="3" s="1"/>
  <c r="BB10" i="3"/>
  <c r="BG10" i="3" s="1"/>
  <c r="AE23" i="3"/>
  <c r="AD27" i="3"/>
  <c r="AF31" i="3"/>
  <c r="AE31" i="3" s="1"/>
  <c r="AD38" i="3"/>
  <c r="AD40" i="3"/>
  <c r="Y18" i="7"/>
  <c r="AD23" i="7"/>
  <c r="AG29" i="7"/>
  <c r="AS30" i="7"/>
  <c r="AO33" i="7"/>
  <c r="AD35" i="7"/>
  <c r="AS20" i="11"/>
  <c r="AX20" i="11" s="1"/>
  <c r="AA36" i="11"/>
  <c r="AA38" i="11"/>
  <c r="V7" i="12"/>
  <c r="Z34" i="12"/>
  <c r="AE34" i="12" s="1"/>
  <c r="AH40" i="12"/>
  <c r="AO4" i="13"/>
  <c r="AH8" i="13"/>
  <c r="AJ8" i="13" s="1"/>
  <c r="Z21" i="13"/>
  <c r="AO15" i="14"/>
  <c r="AT15" i="14" s="1"/>
  <c r="AD30" i="14"/>
  <c r="AI30" i="14" s="1"/>
  <c r="AT16" i="15"/>
  <c r="AM32" i="15"/>
  <c r="AE37" i="15"/>
  <c r="AJ37" i="15" s="1"/>
  <c r="AM39" i="15"/>
  <c r="O26" i="16"/>
  <c r="T34" i="16"/>
  <c r="AQ5" i="3"/>
  <c r="AD8" i="3"/>
  <c r="AJ10" i="3"/>
  <c r="BF3" i="3"/>
  <c r="T24" i="16"/>
  <c r="T26" i="16" s="1"/>
  <c r="BE23" i="3"/>
  <c r="AE4" i="3"/>
  <c r="AS10" i="11"/>
  <c r="AX10" i="11" s="1"/>
  <c r="AS27" i="11"/>
  <c r="AX27" i="11" s="1"/>
  <c r="AQ11" i="12"/>
  <c r="AL26" i="13"/>
  <c r="AL28" i="13" s="1"/>
  <c r="AV20" i="15"/>
  <c r="L3" i="16"/>
  <c r="Q3" i="16" s="1"/>
  <c r="S26" i="16"/>
  <c r="T38" i="16"/>
  <c r="AE41" i="1"/>
  <c r="Y21" i="1"/>
  <c r="AE10" i="1"/>
  <c r="Y15" i="1"/>
  <c r="Y20" i="1"/>
  <c r="Y3" i="1"/>
  <c r="AE8" i="1"/>
  <c r="AE14" i="1"/>
  <c r="AE17" i="1"/>
  <c r="AE13" i="1"/>
  <c r="AE40" i="1"/>
  <c r="AE24" i="1"/>
  <c r="AE9" i="1"/>
  <c r="Y33" i="1"/>
  <c r="Y36" i="1"/>
  <c r="AE7" i="1"/>
  <c r="AE25" i="1"/>
  <c r="Y28" i="1"/>
  <c r="AE6" i="1"/>
  <c r="Y5" i="1"/>
  <c r="Y41" i="1"/>
  <c r="Y8" i="1"/>
  <c r="Y35" i="1"/>
  <c r="Y17" i="1"/>
  <c r="Y24" i="1"/>
  <c r="Y25" i="1"/>
  <c r="Y10" i="1"/>
  <c r="AF33" i="1"/>
  <c r="AE33" i="1" s="1"/>
  <c r="Y27" i="1"/>
  <c r="Y12" i="1"/>
  <c r="Y4" i="1"/>
  <c r="Y37" i="1"/>
  <c r="Y13" i="1"/>
  <c r="Y23" i="1"/>
  <c r="Y32" i="1"/>
  <c r="Y7" i="1"/>
  <c r="AE18" i="1"/>
  <c r="AE32" i="1"/>
  <c r="AF15" i="1"/>
  <c r="AE15" i="1" s="1"/>
  <c r="AF20" i="1"/>
  <c r="AE20" i="1" s="1"/>
  <c r="AE39" i="1"/>
  <c r="Y11" i="1"/>
  <c r="AE34" i="1"/>
  <c r="AE19" i="1"/>
  <c r="Y40" i="1"/>
  <c r="AE5" i="1"/>
  <c r="AE4" i="1"/>
  <c r="AE27" i="1"/>
  <c r="AF36" i="1"/>
  <c r="AE36" i="1" s="1"/>
  <c r="Y18" i="1"/>
  <c r="Y30" i="1"/>
  <c r="AE35" i="1"/>
  <c r="Y6" i="1"/>
  <c r="Y26" i="1"/>
  <c r="Y31" i="1"/>
  <c r="AE29" i="1"/>
  <c r="AE37" i="1"/>
  <c r="AE23" i="1"/>
  <c r="AE16" i="1"/>
  <c r="AE26" i="1"/>
  <c r="AF28" i="1"/>
  <c r="AE28" i="1" s="1"/>
  <c r="AE31" i="1"/>
  <c r="AE11" i="1"/>
  <c r="AE22" i="1"/>
  <c r="AE38" i="1"/>
  <c r="AD23" i="1"/>
  <c r="AD4" i="1"/>
  <c r="AV7" i="1"/>
  <c r="BB6" i="1"/>
  <c r="BG6" i="1" s="1"/>
  <c r="AJ27" i="1"/>
  <c r="AD13" i="1"/>
  <c r="AD27" i="1"/>
  <c r="AD32" i="1"/>
  <c r="AJ36" i="1"/>
  <c r="AD41" i="1"/>
  <c r="AJ4" i="1"/>
  <c r="AD20" i="1"/>
  <c r="AD29" i="1"/>
  <c r="AJ38" i="1"/>
  <c r="AJ29" i="1"/>
  <c r="AJ7" i="1"/>
  <c r="AD16" i="1"/>
  <c r="AJ28" i="1"/>
  <c r="AD31" i="1"/>
  <c r="AD22" i="1"/>
  <c r="AD38" i="1"/>
  <c r="AD10" i="1"/>
  <c r="AD7" i="1"/>
  <c r="AJ11" i="1"/>
  <c r="AD21" i="1"/>
  <c r="AJ30" i="1"/>
  <c r="AD34" i="1"/>
  <c r="AJ17" i="1"/>
  <c r="AJ35" i="1"/>
  <c r="AJ34" i="1"/>
  <c r="AD39" i="1"/>
  <c r="BF12" i="1"/>
  <c r="AN4" i="1"/>
  <c r="AS4" i="1" s="1"/>
  <c r="AD8" i="1"/>
  <c r="AJ10" i="1"/>
  <c r="AD28" i="1"/>
  <c r="AV11" i="1"/>
  <c r="AD35" i="1"/>
  <c r="BF14" i="1"/>
  <c r="AV4" i="1"/>
  <c r="AN17" i="1"/>
  <c r="AS17" i="1" s="1"/>
  <c r="AJ8" i="1"/>
  <c r="AJ9" i="1"/>
  <c r="AJ26" i="1"/>
  <c r="AD3" i="1"/>
  <c r="AJ5" i="1"/>
  <c r="AJ14" i="1"/>
  <c r="AJ41" i="1"/>
  <c r="AJ3" i="1"/>
  <c r="AJ12" i="1"/>
  <c r="AJ18" i="1"/>
  <c r="AD30" i="1"/>
  <c r="AJ13" i="1"/>
  <c r="AD17" i="1"/>
  <c r="AJ23" i="1"/>
  <c r="AD37" i="1"/>
  <c r="AJ21" i="1"/>
  <c r="AJ37" i="1"/>
  <c r="AD40" i="1"/>
  <c r="AV16" i="1"/>
  <c r="AP5" i="1"/>
  <c r="BF8" i="1"/>
  <c r="BB4" i="1"/>
  <c r="BG4" i="1" s="1"/>
  <c r="BB3" i="1"/>
  <c r="BG3" i="1" s="1"/>
  <c r="BB12" i="1"/>
  <c r="BG12" i="1" s="1"/>
  <c r="AJ33" i="1"/>
  <c r="AJ24" i="1"/>
  <c r="AD19" i="1"/>
  <c r="AJ32" i="1"/>
  <c r="BF4" i="1"/>
  <c r="AD5" i="1"/>
  <c r="BB10" i="1"/>
  <c r="BG10" i="1" s="1"/>
  <c r="AJ39" i="1"/>
  <c r="AJ15" i="1"/>
  <c r="BB9" i="1"/>
  <c r="BG9" i="1" s="1"/>
  <c r="AJ16" i="1"/>
  <c r="AD24" i="1"/>
  <c r="P44" i="1"/>
  <c r="T44" i="1" s="1"/>
  <c r="BB14" i="1"/>
  <c r="BG14" i="1" s="1"/>
  <c r="BB8" i="1"/>
  <c r="BG8" i="1" s="1"/>
  <c r="AD26" i="1"/>
  <c r="AD33" i="1"/>
  <c r="P45" i="1"/>
  <c r="T45" i="1" s="1"/>
  <c r="AJ20" i="1"/>
  <c r="AJ6" i="1"/>
  <c r="AD15" i="1"/>
  <c r="AD6" i="1"/>
  <c r="AD25" i="1"/>
  <c r="BB5" i="1"/>
  <c r="BG5" i="1" s="1"/>
  <c r="AD11" i="1"/>
  <c r="AD12" i="1"/>
  <c r="AJ22" i="1"/>
  <c r="AD9" i="1"/>
  <c r="AD14" i="1"/>
  <c r="AJ31" i="1"/>
  <c r="AR13" i="1"/>
  <c r="BB7" i="1"/>
  <c r="BG7" i="1" s="1"/>
  <c r="BB11" i="1"/>
  <c r="BG11" i="1" s="1"/>
  <c r="AO5" i="1"/>
  <c r="BD15" i="1"/>
  <c r="BE15" i="1"/>
  <c r="BB13" i="1"/>
  <c r="BG13" i="1" s="1"/>
  <c r="BF5" i="1"/>
  <c r="BF13" i="1"/>
  <c r="BF3" i="1"/>
  <c r="AV9" i="1"/>
  <c r="AV10" i="1"/>
  <c r="AV14" i="1"/>
  <c r="AV15" i="1"/>
  <c r="AV12" i="1"/>
  <c r="AV8" i="1"/>
  <c r="AV13" i="1"/>
  <c r="AR14" i="1"/>
  <c r="AR15" i="1"/>
  <c r="AN7" i="1"/>
  <c r="AS7" i="1" s="1"/>
  <c r="AN16" i="1"/>
  <c r="AS16" i="1" s="1"/>
  <c r="AV17" i="1"/>
  <c r="AV3" i="1"/>
  <c r="AT5" i="1"/>
  <c r="AQ5" i="1"/>
  <c r="AU5" i="1"/>
  <c r="AR4" i="1"/>
  <c r="AN15" i="1"/>
  <c r="AS15" i="1" s="1"/>
  <c r="AR17" i="1"/>
  <c r="AN3" i="1"/>
  <c r="AN12" i="1"/>
  <c r="AN9" i="1"/>
  <c r="AS9" i="1" s="1"/>
  <c r="AN14" i="1"/>
  <c r="AS14" i="1" s="1"/>
  <c r="AP14" i="7"/>
  <c r="AE12" i="1"/>
  <c r="AE11" i="3"/>
  <c r="AE15" i="3"/>
  <c r="AV21" i="7"/>
  <c r="AU21" i="7"/>
  <c r="AK20" i="7"/>
  <c r="AP20" i="7" s="1"/>
  <c r="AO26" i="7"/>
  <c r="AK26" i="7"/>
  <c r="AP26" i="7" s="1"/>
  <c r="AR9" i="3"/>
  <c r="AN9" i="3"/>
  <c r="AS9" i="3" s="1"/>
  <c r="BD18" i="7"/>
  <c r="BC18" i="7"/>
  <c r="BE18" i="7" s="1"/>
  <c r="BC15" i="1"/>
  <c r="BD23" i="3"/>
  <c r="AG30" i="1"/>
  <c r="AE30" i="1" s="1"/>
  <c r="BB8" i="3"/>
  <c r="BH8" i="3" s="1"/>
  <c r="AE10" i="3"/>
  <c r="BB15" i="3"/>
  <c r="BG15" i="3" s="1"/>
  <c r="BB22" i="3"/>
  <c r="BG22" i="3" s="1"/>
  <c r="AO5" i="7"/>
  <c r="AP6" i="7"/>
  <c r="AY7" i="7"/>
  <c r="BE7" i="7" s="1"/>
  <c r="AO13" i="7"/>
  <c r="AO14" i="7"/>
  <c r="AQ14" i="7" s="1"/>
  <c r="AG23" i="7"/>
  <c r="BF7" i="1"/>
  <c r="BF11" i="1"/>
  <c r="AR12" i="1"/>
  <c r="AR16" i="1"/>
  <c r="AF3" i="1"/>
  <c r="AE3" i="1" s="1"/>
  <c r="AR8" i="1"/>
  <c r="BF9" i="1"/>
  <c r="AR10" i="1"/>
  <c r="Y19" i="1"/>
  <c r="Y34" i="1"/>
  <c r="Y39" i="1"/>
  <c r="BB3" i="3"/>
  <c r="AN4" i="3"/>
  <c r="AW4" i="3" s="1"/>
  <c r="Y13" i="3"/>
  <c r="AR16" i="3"/>
  <c r="Y27" i="3"/>
  <c r="AY4" i="7"/>
  <c r="BD4" i="7" s="1"/>
  <c r="AO20" i="7"/>
  <c r="AN8" i="1"/>
  <c r="AS8" i="1" s="1"/>
  <c r="AN10" i="1"/>
  <c r="AS10" i="1" s="1"/>
  <c r="Y14" i="1"/>
  <c r="Y16" i="1"/>
  <c r="Y29" i="1"/>
  <c r="AJ40" i="1"/>
  <c r="Y5" i="3"/>
  <c r="AJ6" i="3"/>
  <c r="AN7" i="3"/>
  <c r="AS7" i="3" s="1"/>
  <c r="Y11" i="3"/>
  <c r="AN14" i="3"/>
  <c r="AS14" i="3" s="1"/>
  <c r="AS16" i="3"/>
  <c r="AR19" i="3"/>
  <c r="BB21" i="3"/>
  <c r="BG21" i="3" s="1"/>
  <c r="AE27" i="3"/>
  <c r="Y37" i="3"/>
  <c r="BC3" i="7"/>
  <c r="BE3" i="7" s="1"/>
  <c r="AY14" i="7"/>
  <c r="BD14" i="7" s="1"/>
  <c r="Y16" i="7"/>
  <c r="AN19" i="3"/>
  <c r="AS19" i="3" s="1"/>
  <c r="AY13" i="7"/>
  <c r="BD13" i="7" s="1"/>
  <c r="BC13" i="7"/>
  <c r="AO25" i="7"/>
  <c r="AN13" i="1"/>
  <c r="AS13" i="1" s="1"/>
  <c r="AF3" i="3"/>
  <c r="AE3" i="3" s="1"/>
  <c r="BD17" i="7"/>
  <c r="BC17" i="7"/>
  <c r="BE17" i="7" s="1"/>
  <c r="AS6" i="11"/>
  <c r="AX6" i="11" s="1"/>
  <c r="AW6" i="11"/>
  <c r="AY6" i="11" s="1"/>
  <c r="BB19" i="3"/>
  <c r="BH19" i="3" s="1"/>
  <c r="Y23" i="3"/>
  <c r="AG35" i="3"/>
  <c r="AE35" i="3" s="1"/>
  <c r="AG24" i="7"/>
  <c r="AR11" i="1"/>
  <c r="BF6" i="3"/>
  <c r="BH6" i="3" s="1"/>
  <c r="BF11" i="3"/>
  <c r="BH11" i="3" s="1"/>
  <c r="BB16" i="3"/>
  <c r="BG16" i="3" s="1"/>
  <c r="BF16" i="3"/>
  <c r="Y39" i="3"/>
  <c r="AG16" i="7"/>
  <c r="AG31" i="7"/>
  <c r="V3" i="10"/>
  <c r="V5" i="10" s="1"/>
  <c r="T5" i="10"/>
  <c r="AY5" i="7"/>
  <c r="BD5" i="7" s="1"/>
  <c r="BC5" i="7"/>
  <c r="BF5" i="3"/>
  <c r="BH5" i="3" s="1"/>
  <c r="AR12" i="3"/>
  <c r="BF20" i="3"/>
  <c r="BH20" i="3" s="1"/>
  <c r="AE39" i="3"/>
  <c r="BC6" i="7"/>
  <c r="BE6" i="7" s="1"/>
  <c r="Y30" i="7"/>
  <c r="AJ19" i="1"/>
  <c r="AD36" i="1"/>
  <c r="Y38" i="1"/>
  <c r="BF9" i="3"/>
  <c r="BH9" i="3" s="1"/>
  <c r="AR10" i="3"/>
  <c r="AN15" i="3"/>
  <c r="AS15" i="3" s="1"/>
  <c r="Y22" i="3"/>
  <c r="AG32" i="3"/>
  <c r="AE32" i="3" s="1"/>
  <c r="AK3" i="7"/>
  <c r="AP3" i="7" s="1"/>
  <c r="BD6" i="7"/>
  <c r="BF6" i="1"/>
  <c r="AK16" i="7"/>
  <c r="AP16" i="7" s="1"/>
  <c r="AO16" i="7"/>
  <c r="AQ16" i="7" s="1"/>
  <c r="AP31" i="7"/>
  <c r="BH18" i="3"/>
  <c r="AN17" i="3"/>
  <c r="AS17" i="3" s="1"/>
  <c r="AR17" i="3"/>
  <c r="AD18" i="1"/>
  <c r="AJ11" i="3"/>
  <c r="AN13" i="3"/>
  <c r="AS13" i="3" s="1"/>
  <c r="AF16" i="3"/>
  <c r="AE16" i="3" s="1"/>
  <c r="AR18" i="3"/>
  <c r="Y21" i="3"/>
  <c r="AE36" i="3"/>
  <c r="AL22" i="7"/>
  <c r="AR3" i="1"/>
  <c r="AR7" i="1"/>
  <c r="AR9" i="1"/>
  <c r="BF10" i="1"/>
  <c r="AF21" i="1"/>
  <c r="AE21" i="1" s="1"/>
  <c r="AP5" i="3"/>
  <c r="AN3" i="3"/>
  <c r="AY3" i="3" s="1"/>
  <c r="AR3" i="3"/>
  <c r="BG17" i="3"/>
  <c r="AE21" i="3"/>
  <c r="AG29" i="3"/>
  <c r="AE29" i="3" s="1"/>
  <c r="Y9" i="1"/>
  <c r="AN11" i="3"/>
  <c r="AS11" i="3" s="1"/>
  <c r="BF14" i="3"/>
  <c r="AR15" i="3"/>
  <c r="AJ16" i="3"/>
  <c r="Y20" i="3"/>
  <c r="Y33" i="3"/>
  <c r="AO3" i="7"/>
  <c r="AD10" i="7"/>
  <c r="AP21" i="7"/>
  <c r="O5" i="10"/>
  <c r="N4" i="10"/>
  <c r="N5" i="10" s="1"/>
  <c r="S4" i="10"/>
  <c r="R4" i="10"/>
  <c r="AN11" i="1"/>
  <c r="AS11" i="1" s="1"/>
  <c r="AJ9" i="3"/>
  <c r="AE20" i="3"/>
  <c r="AD21" i="3"/>
  <c r="AE33" i="3"/>
  <c r="AP4" i="7"/>
  <c r="AP15" i="7"/>
  <c r="AO15" i="7"/>
  <c r="AQ15" i="7" s="1"/>
  <c r="AW3" i="11"/>
  <c r="AS3" i="11"/>
  <c r="AX3" i="11" s="1"/>
  <c r="Y22" i="1"/>
  <c r="AK5" i="7"/>
  <c r="AP5" i="7" s="1"/>
  <c r="AK11" i="7"/>
  <c r="AP11" i="7" s="1"/>
  <c r="AK13" i="7"/>
  <c r="AP13" i="7" s="1"/>
  <c r="Y17" i="7"/>
  <c r="AS34" i="7"/>
  <c r="AG36" i="7"/>
  <c r="Y39" i="7"/>
  <c r="AE12" i="11"/>
  <c r="AJ12" i="11" s="1"/>
  <c r="AA23" i="11"/>
  <c r="AW25" i="11"/>
  <c r="AF28" i="11"/>
  <c r="AS13" i="11"/>
  <c r="AW20" i="11"/>
  <c r="AD4" i="12"/>
  <c r="AY8" i="7"/>
  <c r="Y15" i="7"/>
  <c r="Y25" i="7"/>
  <c r="AO28" i="7"/>
  <c r="AO34" i="7"/>
  <c r="H5" i="10"/>
  <c r="AA19" i="11"/>
  <c r="AX23" i="11"/>
  <c r="AI38" i="11"/>
  <c r="AE38" i="11"/>
  <c r="AJ38" i="11" s="1"/>
  <c r="AO11" i="7"/>
  <c r="AD31" i="7"/>
  <c r="R3" i="10"/>
  <c r="AI6" i="11"/>
  <c r="AK28" i="11"/>
  <c r="AI34" i="11"/>
  <c r="AW9" i="11"/>
  <c r="AS9" i="11"/>
  <c r="AX9" i="11" s="1"/>
  <c r="AS12" i="11"/>
  <c r="AX12" i="11" s="1"/>
  <c r="AJ27" i="11"/>
  <c r="AP6" i="12"/>
  <c r="AO6" i="12"/>
  <c r="AQ6" i="12" s="1"/>
  <c r="AE41" i="11"/>
  <c r="AJ41" i="11" s="1"/>
  <c r="AP32" i="7"/>
  <c r="AO32" i="7"/>
  <c r="AD42" i="7"/>
  <c r="O50" i="7"/>
  <c r="S50" i="7" s="1"/>
  <c r="AE5" i="11"/>
  <c r="AE11" i="11"/>
  <c r="AJ11" i="11" s="1"/>
  <c r="AI11" i="11"/>
  <c r="AS8" i="11"/>
  <c r="AX8" i="11" s="1"/>
  <c r="AS14" i="11"/>
  <c r="AX14" i="11" s="1"/>
  <c r="AW19" i="11"/>
  <c r="AS19" i="11"/>
  <c r="AX19" i="11" s="1"/>
  <c r="AO27" i="11"/>
  <c r="AE44" i="11"/>
  <c r="AJ44" i="11" s="1"/>
  <c r="AA35" i="11"/>
  <c r="AS32" i="7"/>
  <c r="AS5" i="11"/>
  <c r="AX5" i="11" s="1"/>
  <c r="AX11" i="11"/>
  <c r="AW11" i="11"/>
  <c r="AY11" i="11" s="1"/>
  <c r="AA31" i="11"/>
  <c r="AO31" i="7"/>
  <c r="AE33" i="11"/>
  <c r="AJ33" i="11" s="1"/>
  <c r="AI33" i="11"/>
  <c r="AO3" i="12"/>
  <c r="AI42" i="11"/>
  <c r="AW5" i="11"/>
  <c r="AW22" i="11"/>
  <c r="AS22" i="11"/>
  <c r="AX22" i="11" s="1"/>
  <c r="AJ25" i="1"/>
  <c r="AS20" i="7"/>
  <c r="AS22" i="7" s="1"/>
  <c r="AQ22" i="7"/>
  <c r="AO30" i="7"/>
  <c r="G5" i="10"/>
  <c r="AJ10" i="11"/>
  <c r="AA12" i="11"/>
  <c r="AF14" i="12"/>
  <c r="AP25" i="15"/>
  <c r="AO25" i="15"/>
  <c r="BC14" i="7"/>
  <c r="BC15" i="7"/>
  <c r="AY16" i="7"/>
  <c r="BD16" i="7" s="1"/>
  <c r="AO24" i="7"/>
  <c r="AS25" i="7"/>
  <c r="AJ4" i="11"/>
  <c r="AI18" i="11"/>
  <c r="AJ3" i="11"/>
  <c r="AI3" i="11"/>
  <c r="AK3" i="11" s="1"/>
  <c r="AW4" i="11"/>
  <c r="AS4" i="11"/>
  <c r="AX4" i="11" s="1"/>
  <c r="AE9" i="11"/>
  <c r="AJ9" i="11" s="1"/>
  <c r="AQ5" i="12"/>
  <c r="AD30" i="12"/>
  <c r="Z32" i="12"/>
  <c r="AE32" i="12" s="1"/>
  <c r="AH9" i="13"/>
  <c r="AI37" i="11"/>
  <c r="AO4" i="12"/>
  <c r="AO23" i="12"/>
  <c r="AE37" i="12"/>
  <c r="AD37" i="12"/>
  <c r="AJ13" i="13"/>
  <c r="AP11" i="15"/>
  <c r="AU11" i="15" s="1"/>
  <c r="AX15" i="11"/>
  <c r="AJ45" i="11"/>
  <c r="AU9" i="15"/>
  <c r="AT9" i="15"/>
  <c r="AM26" i="15"/>
  <c r="AM27" i="15" s="1"/>
  <c r="AK27" i="15"/>
  <c r="AS29" i="7"/>
  <c r="Y31" i="7"/>
  <c r="AG42" i="7"/>
  <c r="AE26" i="11"/>
  <c r="AE39" i="11"/>
  <c r="AJ39" i="11" s="1"/>
  <c r="N56" i="11"/>
  <c r="O56" i="11" s="1"/>
  <c r="Z8" i="12"/>
  <c r="AE8" i="12" s="1"/>
  <c r="AD9" i="12"/>
  <c r="AF9" i="12" s="1"/>
  <c r="AK10" i="12"/>
  <c r="AP10" i="12" s="1"/>
  <c r="AO13" i="12"/>
  <c r="AQ13" i="12" s="1"/>
  <c r="AO17" i="12"/>
  <c r="AQ17" i="12" s="1"/>
  <c r="AO19" i="12"/>
  <c r="AI4" i="13"/>
  <c r="AH4" i="13"/>
  <c r="AJ4" i="13" s="1"/>
  <c r="Z24" i="14"/>
  <c r="Z30" i="14"/>
  <c r="AU13" i="15"/>
  <c r="AO12" i="12"/>
  <c r="AK12" i="12"/>
  <c r="AP12" i="12" s="1"/>
  <c r="Z27" i="12"/>
  <c r="AJ27" i="12" s="1"/>
  <c r="AI30" i="15"/>
  <c r="AD34" i="12"/>
  <c r="AD3" i="13"/>
  <c r="AI3" i="13" s="1"/>
  <c r="AT16" i="13"/>
  <c r="AS16" i="13"/>
  <c r="AU16" i="13" s="1"/>
  <c r="Z18" i="14"/>
  <c r="Z37" i="14"/>
  <c r="AJ19" i="15"/>
  <c r="AI19" i="15"/>
  <c r="AK19" i="15" s="1"/>
  <c r="AS27" i="7"/>
  <c r="Y29" i="7"/>
  <c r="AG38" i="7"/>
  <c r="Y41" i="7"/>
  <c r="AE36" i="11"/>
  <c r="AJ36" i="11" s="1"/>
  <c r="AD8" i="12"/>
  <c r="AP9" i="12"/>
  <c r="AO10" i="12"/>
  <c r="AH14" i="13"/>
  <c r="AJ25" i="15"/>
  <c r="AI25" i="15"/>
  <c r="AF27" i="15"/>
  <c r="AA11" i="11"/>
  <c r="AE16" i="11"/>
  <c r="AJ16" i="11" s="1"/>
  <c r="AS21" i="11"/>
  <c r="AX21" i="11" s="1"/>
  <c r="AS23" i="11"/>
  <c r="AY23" i="11" s="1"/>
  <c r="AD27" i="12"/>
  <c r="AT4" i="13"/>
  <c r="AS4" i="13"/>
  <c r="AU4" i="13" s="1"/>
  <c r="AH3" i="14"/>
  <c r="AU7" i="15"/>
  <c r="AT7" i="15"/>
  <c r="AV7" i="15" s="1"/>
  <c r="AI31" i="11"/>
  <c r="AD31" i="12"/>
  <c r="Z11" i="14"/>
  <c r="AI44" i="11"/>
  <c r="AQ9" i="12"/>
  <c r="Z13" i="12"/>
  <c r="AE13" i="12" s="1"/>
  <c r="AO18" i="12"/>
  <c r="Z33" i="12"/>
  <c r="AE33" i="12" s="1"/>
  <c r="Z38" i="12"/>
  <c r="AE38" i="12" s="1"/>
  <c r="AL27" i="14"/>
  <c r="AL28" i="14" s="1"/>
  <c r="AJ28" i="14"/>
  <c r="Z39" i="14"/>
  <c r="AO8" i="12"/>
  <c r="AT10" i="15"/>
  <c r="AP10" i="15"/>
  <c r="AU10" i="15" s="1"/>
  <c r="AO16" i="12"/>
  <c r="AK16" i="12"/>
  <c r="AP16" i="12" s="1"/>
  <c r="AT3" i="14"/>
  <c r="AS3" i="14"/>
  <c r="AU3" i="14" s="1"/>
  <c r="AS7" i="11"/>
  <c r="AE47" i="11"/>
  <c r="AJ47" i="11" s="1"/>
  <c r="AD26" i="12"/>
  <c r="AA28" i="12"/>
  <c r="AD31" i="13"/>
  <c r="AI31" i="13" s="1"/>
  <c r="Z28" i="14"/>
  <c r="AJ5" i="11"/>
  <c r="AI5" i="11"/>
  <c r="AD13" i="12"/>
  <c r="Z35" i="12"/>
  <c r="AE35" i="12" s="1"/>
  <c r="AD40" i="12"/>
  <c r="AH8" i="14"/>
  <c r="Z13" i="14"/>
  <c r="AH26" i="14"/>
  <c r="AE30" i="11"/>
  <c r="AJ30" i="11" s="1"/>
  <c r="AJ40" i="11"/>
  <c r="AI40" i="11"/>
  <c r="AP5" i="12"/>
  <c r="AP7" i="12"/>
  <c r="AO7" i="12"/>
  <c r="AQ7" i="12" s="1"/>
  <c r="AU3" i="13"/>
  <c r="AW27" i="11"/>
  <c r="AS28" i="11"/>
  <c r="AX28" i="11" s="1"/>
  <c r="AT5" i="13"/>
  <c r="AS5" i="13"/>
  <c r="AU5" i="13" s="1"/>
  <c r="AD15" i="12"/>
  <c r="AO21" i="12"/>
  <c r="AH26" i="12"/>
  <c r="AD9" i="13"/>
  <c r="AI9" i="13" s="1"/>
  <c r="AH27" i="13"/>
  <c r="AD27" i="13"/>
  <c r="AE28" i="13"/>
  <c r="AD4" i="14"/>
  <c r="AJ4" i="14" s="1"/>
  <c r="AK6" i="15"/>
  <c r="AJ6" i="15"/>
  <c r="AE11" i="15"/>
  <c r="AJ11" i="15" s="1"/>
  <c r="AE29" i="15"/>
  <c r="AJ29" i="15" s="1"/>
  <c r="P4" i="16"/>
  <c r="L12" i="16"/>
  <c r="Q12" i="16" s="1"/>
  <c r="L24" i="16"/>
  <c r="L30" i="16"/>
  <c r="Q30" i="16" s="1"/>
  <c r="L32" i="16"/>
  <c r="Q32" i="16" s="1"/>
  <c r="L34" i="16"/>
  <c r="Q34" i="16" s="1"/>
  <c r="L36" i="16"/>
  <c r="Q36" i="16" s="1"/>
  <c r="L38" i="16"/>
  <c r="Q38" i="16" s="1"/>
  <c r="AP18" i="15"/>
  <c r="AU18" i="15" s="1"/>
  <c r="L17" i="16"/>
  <c r="Q17" i="16" s="1"/>
  <c r="M26" i="16"/>
  <c r="AS15" i="14"/>
  <c r="AD26" i="14"/>
  <c r="AI26" i="14" s="1"/>
  <c r="AD32" i="14"/>
  <c r="AI32" i="14" s="1"/>
  <c r="AP6" i="15"/>
  <c r="AV6" i="15" s="1"/>
  <c r="AP8" i="15"/>
  <c r="AU8" i="15" s="1"/>
  <c r="AE10" i="15"/>
  <c r="AK10" i="15" s="1"/>
  <c r="AI12" i="15"/>
  <c r="AT19" i="15"/>
  <c r="AP5" i="15"/>
  <c r="AU5" i="15" s="1"/>
  <c r="AI11" i="15"/>
  <c r="AI29" i="15"/>
  <c r="AE31" i="15"/>
  <c r="AJ31" i="15" s="1"/>
  <c r="L10" i="16"/>
  <c r="Q10" i="16" s="1"/>
  <c r="P12" i="16"/>
  <c r="L20" i="16"/>
  <c r="Q20" i="16" s="1"/>
  <c r="P24" i="16"/>
  <c r="P30" i="16"/>
  <c r="P32" i="16"/>
  <c r="P34" i="16"/>
  <c r="P36" i="16"/>
  <c r="P38" i="16"/>
  <c r="AP12" i="15"/>
  <c r="AU12" i="15" s="1"/>
  <c r="AP16" i="15"/>
  <c r="AU16" i="15" s="1"/>
  <c r="AT18" i="15"/>
  <c r="AI34" i="15"/>
  <c r="AE36" i="15"/>
  <c r="AJ36" i="15" s="1"/>
  <c r="P17" i="16"/>
  <c r="R26" i="16"/>
  <c r="AT13" i="15"/>
  <c r="AV13" i="15" s="1"/>
  <c r="AT17" i="15"/>
  <c r="AV17" i="15" s="1"/>
  <c r="AD31" i="14"/>
  <c r="AI31" i="14" s="1"/>
  <c r="AP3" i="15"/>
  <c r="AU3" i="15" s="1"/>
  <c r="AT5" i="15"/>
  <c r="AE20" i="15"/>
  <c r="AI31" i="15"/>
  <c r="AE33" i="15"/>
  <c r="AJ33" i="15" s="1"/>
  <c r="P10" i="16"/>
  <c r="L18" i="16"/>
  <c r="R18" i="16" s="1"/>
  <c r="P20" i="16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L6" i="16"/>
  <c r="Q6" i="16" s="1"/>
  <c r="L11" i="16"/>
  <c r="Q11" i="16" s="1"/>
  <c r="L21" i="16"/>
  <c r="Q21" i="16" s="1"/>
  <c r="P25" i="16"/>
  <c r="P29" i="16"/>
  <c r="P31" i="16"/>
  <c r="P33" i="16"/>
  <c r="P35" i="16"/>
  <c r="P37" i="16"/>
  <c r="P39" i="16"/>
  <c r="P6" i="16"/>
  <c r="P11" i="16"/>
  <c r="P21" i="16"/>
  <c r="AU15" i="14" l="1"/>
  <c r="AO27" i="14"/>
  <c r="AY29" i="11"/>
  <c r="AU6" i="15"/>
  <c r="AP27" i="11"/>
  <c r="BH10" i="3"/>
  <c r="AQ21" i="12"/>
  <c r="AF15" i="12"/>
  <c r="R5" i="16"/>
  <c r="BH4" i="3"/>
  <c r="R3" i="16"/>
  <c r="AJ8" i="14"/>
  <c r="AK13" i="11"/>
  <c r="BH14" i="3"/>
  <c r="AQ18" i="12"/>
  <c r="AQ8" i="12"/>
  <c r="AQ3" i="12"/>
  <c r="AQ22" i="12"/>
  <c r="AV19" i="15"/>
  <c r="BE15" i="7"/>
  <c r="AY25" i="11"/>
  <c r="BH13" i="3"/>
  <c r="AY24" i="11"/>
  <c r="AY22" i="11"/>
  <c r="AM27" i="14"/>
  <c r="AK7" i="11"/>
  <c r="AN27" i="14"/>
  <c r="AK26" i="12"/>
  <c r="AJ13" i="14"/>
  <c r="AJ26" i="12"/>
  <c r="AF4" i="12"/>
  <c r="AQ23" i="12"/>
  <c r="AY27" i="11"/>
  <c r="AJ3" i="14"/>
  <c r="AV9" i="15"/>
  <c r="AY16" i="11"/>
  <c r="AY8" i="11"/>
  <c r="AJ17" i="11"/>
  <c r="L26" i="16"/>
  <c r="Q26" i="16" s="1"/>
  <c r="AQ15" i="12"/>
  <c r="AX3" i="3"/>
  <c r="R4" i="16"/>
  <c r="AK12" i="15"/>
  <c r="AK5" i="11"/>
  <c r="AQ10" i="12"/>
  <c r="BH12" i="3"/>
  <c r="BH3" i="3"/>
  <c r="BH15" i="3"/>
  <c r="BG19" i="3"/>
  <c r="AJ9" i="14"/>
  <c r="AE27" i="12"/>
  <c r="AD28" i="13"/>
  <c r="AO28" i="13" s="1"/>
  <c r="AK18" i="15"/>
  <c r="AK13" i="15"/>
  <c r="AK4" i="15"/>
  <c r="AK17" i="15"/>
  <c r="AK11" i="11"/>
  <c r="AY20" i="11"/>
  <c r="BE13" i="7"/>
  <c r="BE14" i="7"/>
  <c r="AK16" i="11"/>
  <c r="O51" i="7"/>
  <c r="AQ20" i="12"/>
  <c r="AF5" i="12"/>
  <c r="AF3" i="12"/>
  <c r="AV8" i="15"/>
  <c r="AO26" i="13"/>
  <c r="AF8" i="12"/>
  <c r="AE27" i="15"/>
  <c r="AP27" i="15" s="1"/>
  <c r="AK19" i="11"/>
  <c r="BH16" i="3"/>
  <c r="AK12" i="11"/>
  <c r="AV12" i="15"/>
  <c r="AJ26" i="15"/>
  <c r="AK18" i="11"/>
  <c r="AY21" i="11"/>
  <c r="AI27" i="12"/>
  <c r="AQ4" i="12"/>
  <c r="Q18" i="16"/>
  <c r="BE8" i="7"/>
  <c r="BD8" i="7"/>
  <c r="AV15" i="15"/>
  <c r="AK20" i="15"/>
  <c r="P26" i="16"/>
  <c r="AV5" i="15"/>
  <c r="AN26" i="13"/>
  <c r="AO26" i="15"/>
  <c r="AY10" i="11"/>
  <c r="AQ8" i="7"/>
  <c r="AV4" i="15"/>
  <c r="AV21" i="15"/>
  <c r="AN26" i="15"/>
  <c r="AM26" i="13"/>
  <c r="AK6" i="11"/>
  <c r="AH28" i="12"/>
  <c r="AK27" i="12"/>
  <c r="AY3" i="11"/>
  <c r="AQ13" i="7"/>
  <c r="AY12" i="11"/>
  <c r="AY14" i="11"/>
  <c r="R12" i="16"/>
  <c r="AJ10" i="15"/>
  <c r="R5" i="10"/>
  <c r="AQ19" i="12"/>
  <c r="AY28" i="11"/>
  <c r="AY26" i="11"/>
  <c r="AK11" i="15"/>
  <c r="AY5" i="11"/>
  <c r="AQ5" i="7"/>
  <c r="AW4" i="1"/>
  <c r="AX4" i="1"/>
  <c r="AN5" i="1"/>
  <c r="AS5" i="1" s="1"/>
  <c r="AY4" i="1"/>
  <c r="AV5" i="1"/>
  <c r="BB15" i="1"/>
  <c r="BG15" i="1" s="1"/>
  <c r="BF15" i="1"/>
  <c r="AX3" i="1"/>
  <c r="AS3" i="1"/>
  <c r="AY3" i="1"/>
  <c r="AV10" i="15"/>
  <c r="AN26" i="11"/>
  <c r="AE28" i="11"/>
  <c r="AO28" i="11" s="1"/>
  <c r="AP26" i="11"/>
  <c r="AO26" i="11"/>
  <c r="AJ26" i="11"/>
  <c r="AI4" i="14"/>
  <c r="AU20" i="7"/>
  <c r="AV20" i="7"/>
  <c r="AK22" i="7"/>
  <c r="AV22" i="7" s="1"/>
  <c r="AM27" i="13"/>
  <c r="AH28" i="13"/>
  <c r="BG8" i="3"/>
  <c r="AF13" i="12"/>
  <c r="BE5" i="7"/>
  <c r="AT20" i="7"/>
  <c r="AO22" i="7"/>
  <c r="AQ12" i="12"/>
  <c r="AO27" i="13"/>
  <c r="AN27" i="13"/>
  <c r="AJ9" i="13"/>
  <c r="AV3" i="15"/>
  <c r="BF23" i="3"/>
  <c r="AI27" i="15"/>
  <c r="AN27" i="15" s="1"/>
  <c r="AN25" i="15"/>
  <c r="AQ11" i="7"/>
  <c r="S5" i="10"/>
  <c r="AS3" i="3"/>
  <c r="AN5" i="3"/>
  <c r="AK9" i="11"/>
  <c r="AI26" i="12"/>
  <c r="AD28" i="12"/>
  <c r="AV11" i="15"/>
  <c r="AJ20" i="15"/>
  <c r="AJ3" i="13"/>
  <c r="AD28" i="14"/>
  <c r="AN28" i="14" s="1"/>
  <c r="AN26" i="14"/>
  <c r="AR5" i="1"/>
  <c r="AW3" i="1"/>
  <c r="AO27" i="15"/>
  <c r="BH22" i="3"/>
  <c r="BD7" i="7"/>
  <c r="AR5" i="3"/>
  <c r="AW3" i="3"/>
  <c r="AV18" i="15"/>
  <c r="R11" i="16"/>
  <c r="R6" i="16"/>
  <c r="R20" i="16"/>
  <c r="Z28" i="12"/>
  <c r="AE28" i="12" s="1"/>
  <c r="AX13" i="11"/>
  <c r="AY13" i="11"/>
  <c r="BE16" i="7"/>
  <c r="AH28" i="14"/>
  <c r="AM26" i="14"/>
  <c r="AO26" i="14"/>
  <c r="AY4" i="11"/>
  <c r="R17" i="16"/>
  <c r="R21" i="16"/>
  <c r="Q24" i="16"/>
  <c r="AJ28" i="11"/>
  <c r="AY4" i="3"/>
  <c r="AX4" i="3"/>
  <c r="AS4" i="3"/>
  <c r="BE4" i="7"/>
  <c r="AY7" i="11"/>
  <c r="AX7" i="11"/>
  <c r="AY19" i="11"/>
  <c r="AI27" i="13"/>
  <c r="R10" i="16"/>
  <c r="AQ16" i="12"/>
  <c r="AV16" i="15"/>
  <c r="AY9" i="11"/>
  <c r="AQ3" i="7"/>
  <c r="BB23" i="3"/>
  <c r="BG23" i="3" s="1"/>
  <c r="BG3" i="3"/>
  <c r="BH21" i="3"/>
  <c r="AM28" i="13" l="1"/>
  <c r="AI28" i="13"/>
  <c r="AJ27" i="15"/>
  <c r="AN28" i="13"/>
  <c r="AM28" i="14"/>
  <c r="AT22" i="7"/>
  <c r="AW5" i="1"/>
  <c r="AX5" i="1"/>
  <c r="AY5" i="1"/>
  <c r="AI28" i="12"/>
  <c r="AU22" i="7"/>
  <c r="AJ28" i="12"/>
  <c r="AK28" i="12"/>
  <c r="AS5" i="3"/>
  <c r="AY5" i="3"/>
  <c r="AX5" i="3"/>
  <c r="AW5" i="3"/>
  <c r="BH23" i="3"/>
  <c r="AN28" i="11"/>
  <c r="AP28" i="11"/>
  <c r="AP22" i="7"/>
  <c r="AO28" i="14"/>
  <c r="AI28" i="14"/>
</calcChain>
</file>

<file path=xl/sharedStrings.xml><?xml version="1.0" encoding="utf-8"?>
<sst xmlns="http://schemas.openxmlformats.org/spreadsheetml/2006/main" count="5919" uniqueCount="394">
  <si>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</si>
  <si>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</si>
  <si>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</si>
  <si>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</si>
  <si>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</si>
  <si>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</si>
  <si>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</si>
  <si>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</si>
  <si>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</si>
  <si>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</si>
  <si>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</si>
  <si>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</si>
  <si>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</si>
  <si>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</si>
  <si>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</si>
  <si>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</si>
  <si>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</si>
  <si>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</si>
  <si>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</si>
  <si>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</si>
  <si>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</si>
  <si>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</si>
  <si>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</si>
  <si>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</si>
  <si>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</si>
  <si>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</si>
  <si>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</si>
  <si>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</si>
  <si>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</si>
  <si>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</si>
  <si>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</si>
  <si>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</si>
  <si>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</si>
  <si>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</si>
  <si>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</si>
  <si>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</si>
  <si>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</si>
  <si>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</si>
  <si>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</si>
  <si>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</si>
  <si>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</si>
  <si>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</si>
  <si>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</si>
  <si>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</si>
  <si>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</si>
  <si>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</si>
  <si>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</si>
  <si>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</si>
  <si>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</si>
  <si>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</si>
  <si>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</si>
  <si>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</si>
  <si>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</si>
  <si>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</si>
  <si>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</si>
  <si>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</si>
  <si>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</si>
  <si>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</si>
  <si>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</si>
  <si>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</si>
  <si>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</si>
  <si>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</si>
  <si>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</si>
  <si>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</si>
  <si>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</si>
  <si>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</si>
  <si>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</si>
  <si>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</si>
  <si>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</si>
  <si>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</si>
  <si>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</si>
  <si>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</si>
  <si>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제주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</si>
  <si>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</si>
  <si>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</si>
  <si>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</si>
  <si>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</si>
  <si>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</si>
  <si>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</si>
  <si>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</si>
  <si>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</si>
  <si>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</si>
  <si>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</si>
  <si>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</si>
  <si>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</si>
  <si>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</si>
  <si>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</si>
  <si>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</si>
  <si>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</si>
  <si>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</si>
  <si>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</si>
  <si>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</si>
  <si>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</si>
  <si>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</si>
  <si>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</si>
  <si>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</si>
  <si>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</si>
  <si>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</si>
  <si>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</si>
  <si>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</si>
  <si>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</si>
  <si>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</si>
  <si>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</si>
  <si>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</si>
  <si>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</si>
  <si>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</si>
  <si>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</si>
  <si>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</si>
  <si>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</si>
  <si>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</si>
  <si>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</si>
  <si>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</si>
  <si>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</si>
  <si>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</si>
  <si>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</si>
  <si>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</si>
  <si>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</si>
  <si>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</si>
  <si>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</si>
  <si>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</si>
  <si>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</si>
  <si>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경기수</t>
  </si>
  <si>
    <t>총관중수</t>
  </si>
  <si>
    <t>평균관중</t>
  </si>
  <si>
    <t>전년비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</si>
  <si>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</si>
  <si>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</si>
  <si>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</si>
  <si>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</si>
  <si>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</si>
  <si>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</si>
  <si>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</si>
  <si>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</si>
  <si>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</si>
  <si>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</si>
  <si>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</si>
  <si>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</si>
  <si>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</si>
  <si>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</si>
  <si>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</si>
  <si>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</si>
  <si>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</si>
  <si>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</si>
  <si>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</si>
  <si>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</si>
  <si>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</si>
  <si>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</si>
  <si>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</si>
  <si>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</si>
  <si>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</si>
  <si>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</si>
  <si>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</si>
  <si>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</si>
  <si>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</si>
  <si>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</si>
  <si>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</si>
  <si>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</si>
  <si>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</si>
  <si>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쇼타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</si>
  <si>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</si>
  <si>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</si>
  <si>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</si>
  <si>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</si>
  <si>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</si>
  <si>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</si>
  <si>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</si>
  <si>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</si>
  <si>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</si>
  <si>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</si>
  <si>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</si>
  <si>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</si>
  <si>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</si>
  <si>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</si>
  <si>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</si>
  <si>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</si>
  <si>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</si>
  <si>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</si>
  <si>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</si>
  <si>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</si>
  <si>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</si>
  <si>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</si>
  <si>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</si>
  <si>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</si>
  <si>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</si>
  <si>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</si>
  <si>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</si>
  <si>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</si>
  <si>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</si>
  <si>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</si>
  <si>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</si>
  <si>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</si>
  <si>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</si>
  <si>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</si>
  <si>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</si>
  <si>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</si>
  <si>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</si>
  <si>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</si>
  <si>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</si>
  <si>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</si>
  <si>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</si>
  <si>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</si>
  <si>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</si>
  <si>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</si>
  <si>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</si>
  <si>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</si>
  <si>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</si>
  <si>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</si>
  <si>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</si>
  <si>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</si>
  <si>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</si>
  <si>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</si>
  <si>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</si>
  <si>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</si>
  <si>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</si>
  <si>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</si>
  <si>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</si>
  <si>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</si>
  <si>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</si>
  <si>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</si>
  <si>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</si>
  <si>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</si>
  <si>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</si>
  <si>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</si>
  <si>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</si>
  <si>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</si>
  <si>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</si>
  <si>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</si>
  <si>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</si>
  <si>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</si>
  <si>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</si>
  <si>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</si>
  <si>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</si>
  <si>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</si>
  <si>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</si>
  <si>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</si>
  <si>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</si>
  <si>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</si>
  <si>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</si>
  <si>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</si>
  <si>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</si>
  <si>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</si>
  <si>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</si>
  <si>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</si>
  <si>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</si>
  <si>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</si>
  <si>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</si>
  <si>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</si>
  <si>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</si>
  <si>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</si>
  <si>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</si>
  <si>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</si>
  <si>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</si>
  <si>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</si>
  <si>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</si>
  <si>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</si>
  <si>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</si>
  <si>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</si>
  <si>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</si>
  <si>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</si>
  <si>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</si>
  <si>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</si>
  <si>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</si>
  <si>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</si>
  <si>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</si>
  <si>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</si>
  <si>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</si>
  <si>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</si>
  <si>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</si>
  <si>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</si>
  <si>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</si>
  <si>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</si>
  <si>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</si>
  <si>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</si>
  <si>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</si>
  <si>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</si>
  <si>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</si>
  <si>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</si>
  <si>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</si>
  <si>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</si>
  <si>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</si>
  <si>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</si>
  <si>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</si>
  <si>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</si>
  <si>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</si>
  <si>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</si>
  <si>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</si>
  <si>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</si>
  <si>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</si>
  <si>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</si>
  <si>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</si>
  <si>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</si>
  <si>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</si>
  <si>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</si>
  <si>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</si>
  <si>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</si>
  <si>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</si>
  <si>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</si>
  <si>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</si>
  <si>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</si>
  <si>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</si>
  <si>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</si>
  <si>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</si>
  <si>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</si>
  <si>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</si>
  <si>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</si>
  <si>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</si>
  <si>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</si>
  <si>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</si>
  <si>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</si>
  <si>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</si>
  <si>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</si>
  <si>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</si>
  <si>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</si>
  <si>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</si>
  <si>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</si>
  <si>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</si>
  <si>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</si>
  <si>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</si>
  <si>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</si>
  <si>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</si>
  <si>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</si>
  <si>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</si>
  <si>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</si>
  <si>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</si>
  <si>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</si>
  <si>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</si>
  <si>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</si>
  <si>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</si>
  <si>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</si>
  <si>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</si>
  <si>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</si>
  <si>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</si>
  <si>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</si>
  <si>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</si>
  <si>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</si>
  <si>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</si>
  <si>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</si>
  <si>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</si>
  <si>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</si>
  <si>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</si>
  <si>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</si>
  <si>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</si>
  <si>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</si>
  <si>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</si>
  <si>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</si>
  <si>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</si>
  <si>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</si>
  <si>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</si>
  <si>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</si>
  <si>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</si>
  <si>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</si>
  <si>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</si>
  <si>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</si>
  <si>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</si>
  <si>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</si>
  <si>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</si>
  <si>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</si>
  <si>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</si>
  <si>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</si>
  <si>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</si>
  <si>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</si>
  <si>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</si>
  <si>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</si>
  <si>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</si>
  <si>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</si>
  <si>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</si>
  <si>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</si>
  <si>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</si>
  <si>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</si>
  <si>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</si>
  <si>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</si>
  <si>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</si>
  <si>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</si>
  <si>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</si>
  <si>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</si>
  <si>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</si>
  <si>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</si>
  <si>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</si>
  <si>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</si>
  <si>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</si>
  <si>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</si>
  <si>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</si>
  <si>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</si>
  <si>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</si>
  <si>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</si>
  <si>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</si>
  <si>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</si>
  <si>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</si>
  <si>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</si>
  <si>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</si>
  <si>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</si>
  <si>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</si>
  <si>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(2026-08-22 - 24R 진행 중)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</si>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</sst>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392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337</v>
      </c>
      <c r="B3" s="404" t="s">
        <v>338</v>
      </c>
      <c r="C3" s="405" t="s">
        <v>339</v>
      </c>
      <c r="D3" s="283">
        <v>1</v>
      </c>
      <c r="E3" s="284" t="s">
        <v>340</v>
      </c>
      <c r="F3" s="285" t="s">
        <v>341</v>
      </c>
      <c r="G3" s="283">
        <v>1</v>
      </c>
      <c r="H3" s="283">
        <v>2</v>
      </c>
      <c r="I3" s="461" t="s">
        <v>342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1" si="0">Z3+AA3</f>
        <v>19</v>
      </c>
      <c r="Z3" s="132">
        <f>COUNTIF('출전기록 (26)'!C$2:M$39,'2026 토탈'!X3)</f>
        <v>12</v>
      </c>
      <c r="AA3" s="132">
        <f>COUNTIF('출전기록 (26)'!N$2:S$39,'2026 토탈'!X3)</f>
        <v>7</v>
      </c>
      <c r="AB3" s="333">
        <f t="shared" ref="AB3:AB41" si="1">COUNTIF($M$3:$P$40,$X3)</f>
        <v>9</v>
      </c>
      <c r="AC3" s="334">
        <f t="shared" ref="AC3:AC41" si="2">COUNTIF($Q$3:$T$40,$X3)</f>
        <v>1</v>
      </c>
      <c r="AD3" s="335">
        <f t="shared" ref="AD3:AD41" si="3">AB3+AC3</f>
        <v>10</v>
      </c>
      <c r="AE3" s="332">
        <f t="shared" ref="AE3:AE41" si="4">AF3+AG3</f>
        <v>19</v>
      </c>
      <c r="AF3" s="132">
        <f>COUNTIF('출전기록 (26)'!W$2:AG$7,'2026 토탈'!X3)+Z3</f>
        <v>12</v>
      </c>
      <c r="AG3" s="132">
        <f>COUNTIF('출전기록 (26)'!AH$2:AM$7,'2026 토탈'!X3)+AA3</f>
        <v>7</v>
      </c>
      <c r="AH3" s="333">
        <f t="shared" ref="AH3:AH41" si="5">COUNTIF($M$3:$P$41,$X3)</f>
        <v>9</v>
      </c>
      <c r="AI3" s="334">
        <f t="shared" ref="AI3:AI41" si="6">COUNTIF($Q$3:$T$41,$X3)</f>
        <v>1</v>
      </c>
      <c r="AJ3" s="335">
        <f t="shared" ref="AJ3:AJ41" si="7">AH3+AI3</f>
        <v>10</v>
      </c>
      <c r="AM3" s="2" t="s">
        <v>45</v>
      </c>
      <c r="AN3" s="2">
        <f>SUM(AO3:AQ3)</f>
        <v>12</v>
      </c>
      <c r="AO3" s="243">
        <f t="shared" ref="AO3:AQ4" si="8">COUNTIFS($A$3:$A$40,"K리그",$F$3:$F$40,$AM3,$I$3:$I$40,AO$2)</f>
        <v>4</v>
      </c>
      <c r="AP3" s="58">
        <f t="shared" si="8"/>
        <v>2</v>
      </c>
      <c r="AQ3" s="342">
        <f t="shared" si="8"/>
        <v>6</v>
      </c>
      <c r="AR3" s="352">
        <f>AO3*3+AP3</f>
        <v>14</v>
      </c>
      <c r="AS3" s="10">
        <f>IFERROR(AO3/AN3,0)</f>
        <v>0.33333333333333331</v>
      </c>
      <c r="AT3" s="2">
        <f>SUMIFS($G$3:$G$40,$A$3:$A$40,"K리그",$F$3:$F$40,$AM3)</f>
        <v>13</v>
      </c>
      <c r="AU3" s="2">
        <f>SUMIFS($H$3:$H$40,$A$3:$A$40,"K리그",$F$3:$F$40,$AM3)</f>
        <v>13</v>
      </c>
      <c r="AV3" s="2">
        <f>AT3-AU3</f>
        <v>0</v>
      </c>
      <c r="AW3" s="434">
        <f>IFERROR(AR3/AN3,0)</f>
        <v>1.1666666666666667</v>
      </c>
      <c r="AX3" s="434">
        <f>IFERROR(AT3/AN3,0)</f>
        <v>1.0833333333333333</v>
      </c>
      <c r="AY3" s="434">
        <f>IFERROR(AU3/AN3,0)</f>
        <v>1.0833333333333333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340</v>
      </c>
      <c r="BK3" s="469">
        <v>24</v>
      </c>
      <c r="BL3" s="469">
        <v>15</v>
      </c>
      <c r="BM3" s="469">
        <v>5</v>
      </c>
      <c r="BN3" s="469">
        <v>4</v>
      </c>
      <c r="BO3" s="469">
        <v>46</v>
      </c>
      <c r="BP3" s="469">
        <v>19</v>
      </c>
      <c r="BQ3" s="469">
        <f>BO3-BP3</f>
        <v>27</v>
      </c>
      <c r="BR3" s="469">
        <v>50</v>
      </c>
    </row>
    <row r="4" spans="1:77">
      <c r="A4" s="246" t="s">
        <v>337</v>
      </c>
      <c r="B4" s="406" t="s">
        <v>343</v>
      </c>
      <c r="C4" s="407" t="s">
        <v>339</v>
      </c>
      <c r="D4" s="266">
        <v>2</v>
      </c>
      <c r="E4" s="267" t="s">
        <v>344</v>
      </c>
      <c r="F4" s="267" t="s">
        <v>345</v>
      </c>
      <c r="G4" s="266">
        <v>2</v>
      </c>
      <c r="H4" s="266">
        <v>3</v>
      </c>
      <c r="I4" s="462" t="s">
        <v>342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10</v>
      </c>
      <c r="AO4" s="243">
        <f t="shared" si="8"/>
        <v>4</v>
      </c>
      <c r="AP4" s="58">
        <f t="shared" si="8"/>
        <v>4</v>
      </c>
      <c r="AQ4" s="342">
        <f t="shared" si="8"/>
        <v>2</v>
      </c>
      <c r="AR4" s="352">
        <f>AO4*3+AP4</f>
        <v>16</v>
      </c>
      <c r="AS4" s="23">
        <f>IFERROR(AO4/AN4,0)</f>
        <v>0.4</v>
      </c>
      <c r="AT4" s="2">
        <f>SUMIFS($G$3:$G$40,$A$3:$A$40,"K리그",$F$3:$F$40,$AM4)</f>
        <v>16</v>
      </c>
      <c r="AU4" s="2">
        <f>SUMIFS($H$3:$H$40,$A$3:$A$40,"K리그",$F$3:$F$40,$AM4)</f>
        <v>12</v>
      </c>
      <c r="AV4" s="2">
        <f>AT4-AU4</f>
        <v>4</v>
      </c>
      <c r="AW4" s="434">
        <f>IFERROR(AR4/AN4,0)</f>
        <v>1.6</v>
      </c>
      <c r="AX4" s="434">
        <f>IFERROR(AT4/AN4,0)</f>
        <v>1.6</v>
      </c>
      <c r="AY4" s="434">
        <f>IFERROR(AU4/AN4,0)</f>
        <v>1.2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359</v>
      </c>
      <c r="BK4" s="470">
        <v>24</v>
      </c>
      <c r="BL4" s="470">
        <v>11</v>
      </c>
      <c r="BM4" s="470">
        <v>4</v>
      </c>
      <c r="BN4" s="470">
        <v>9</v>
      </c>
      <c r="BO4" s="470">
        <v>37</v>
      </c>
      <c r="BP4" s="470">
        <v>34</v>
      </c>
      <c r="BQ4" s="470">
        <f>BO4-BP4</f>
        <v>3</v>
      </c>
      <c r="BR4" s="470">
        <v>37</v>
      </c>
    </row>
    <row r="5" spans="1:77">
      <c r="A5" s="246" t="s">
        <v>337</v>
      </c>
      <c r="B5" s="406" t="s">
        <v>346</v>
      </c>
      <c r="C5" s="407" t="s">
        <v>347</v>
      </c>
      <c r="D5" s="266">
        <v>3</v>
      </c>
      <c r="E5" s="267" t="s">
        <v>348</v>
      </c>
      <c r="F5" s="267" t="s">
        <v>345</v>
      </c>
      <c r="G5" s="266">
        <v>1</v>
      </c>
      <c r="H5" s="266">
        <v>1</v>
      </c>
      <c r="I5" s="462" t="s">
        <v>349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21</v>
      </c>
      <c r="Z5" s="132">
        <f>COUNTIF('출전기록 (26)'!C$2:M$39,'2026 토탈'!X5)</f>
        <v>12</v>
      </c>
      <c r="AA5" s="132">
        <f>COUNTIF('출전기록 (26)'!N$2:S$39,'2026 토탈'!X5)</f>
        <v>9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21</v>
      </c>
      <c r="AF5" s="132">
        <f>COUNTIF('출전기록 (26)'!W$2:AG$7,'2026 토탈'!X5)+Z5</f>
        <v>12</v>
      </c>
      <c r="AG5" s="132">
        <f>COUNTIF('출전기록 (26)'!AH$2:AM$7,'2026 토탈'!X5)+AA5</f>
        <v>9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22</v>
      </c>
      <c r="AO5" s="337">
        <f>SUM(AO3:AO4)</f>
        <v>8</v>
      </c>
      <c r="AP5" s="337">
        <f>SUM(AP3:AP4)</f>
        <v>6</v>
      </c>
      <c r="AQ5" s="337">
        <f>SUM(AQ3:AQ4)</f>
        <v>8</v>
      </c>
      <c r="AR5" s="337">
        <f>SUM(AR3:AR4)</f>
        <v>30</v>
      </c>
      <c r="AS5" s="349">
        <f>IFERROR(AO5/AN5,0)</f>
        <v>0.36363636363636365</v>
      </c>
      <c r="AT5" s="337">
        <f>SUM(AT3:AT4)</f>
        <v>29</v>
      </c>
      <c r="AU5" s="337">
        <f>SUM(AU3:AU4)</f>
        <v>25</v>
      </c>
      <c r="AV5" s="337">
        <f>SUM(AV3:AV4)</f>
        <v>4</v>
      </c>
      <c r="AW5" s="435">
        <f>IFERROR(AR5/AN5,0)</f>
        <v>1.3636363636363635</v>
      </c>
      <c r="AX5" s="435">
        <f>IFERROR(AT5/AN5,0)</f>
        <v>1.3181818181818181</v>
      </c>
      <c r="AY5" s="435">
        <f>IFERROR(AU5/AN5,0)</f>
        <v>1.1363636363636365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364</v>
      </c>
      <c r="BK5" s="470">
        <v>24</v>
      </c>
      <c r="BL5" s="470">
        <v>10</v>
      </c>
      <c r="BM5" s="470">
        <v>7</v>
      </c>
      <c r="BN5" s="470">
        <v>7</v>
      </c>
      <c r="BO5" s="470">
        <v>31</v>
      </c>
      <c r="BP5" s="470">
        <v>22</v>
      </c>
      <c r="BQ5" s="470">
        <f>BO5-BP5</f>
        <v>9</v>
      </c>
      <c r="BR5" s="470">
        <v>37</v>
      </c>
    </row>
    <row r="6" spans="1:77">
      <c r="A6" s="246" t="s">
        <v>337</v>
      </c>
      <c r="B6" s="406" t="s">
        <v>350</v>
      </c>
      <c r="C6" s="407" t="s">
        <v>351</v>
      </c>
      <c r="D6" s="266">
        <v>4</v>
      </c>
      <c r="E6" s="267" t="s">
        <v>352</v>
      </c>
      <c r="F6" s="268" t="s">
        <v>341</v>
      </c>
      <c r="G6" s="266">
        <v>1</v>
      </c>
      <c r="H6" s="266">
        <v>3</v>
      </c>
      <c r="I6" s="462" t="s">
        <v>342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19</v>
      </c>
      <c r="Z6" s="132">
        <f>COUNTIF('출전기록 (26)'!C$2:M$39,'2026 토탈'!X6)</f>
        <v>11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19</v>
      </c>
      <c r="AF6" s="132">
        <f>COUNTIF('출전기록 (26)'!W$2:AG$7,'2026 토탈'!X6)+Z6</f>
        <v>11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3</v>
      </c>
      <c r="BC6" s="243">
        <f t="shared" si="10"/>
        <v>1</v>
      </c>
      <c r="BD6" s="465">
        <f t="shared" si="10"/>
        <v>1</v>
      </c>
      <c r="BE6" s="342">
        <f t="shared" si="10"/>
        <v>1</v>
      </c>
      <c r="BF6" s="89">
        <f t="shared" si="11"/>
        <v>4</v>
      </c>
      <c r="BG6" s="11">
        <f t="shared" si="12"/>
        <v>0.33333333333333331</v>
      </c>
      <c r="BI6" s="479">
        <v>4</v>
      </c>
      <c r="BJ6" s="479" t="s">
        <v>368</v>
      </c>
      <c r="BK6" s="479">
        <v>22</v>
      </c>
      <c r="BL6" s="479">
        <v>9</v>
      </c>
      <c r="BM6" s="479">
        <v>8</v>
      </c>
      <c r="BN6" s="479">
        <v>5</v>
      </c>
      <c r="BO6" s="479">
        <v>28</v>
      </c>
      <c r="BP6" s="479">
        <v>19</v>
      </c>
      <c r="BQ6" s="479">
        <f>BO6-BP6</f>
        <v>9</v>
      </c>
      <c r="BR6" s="479">
        <v>35</v>
      </c>
    </row>
    <row r="7" spans="1:77">
      <c r="A7" s="246" t="s">
        <v>337</v>
      </c>
      <c r="B7" s="406" t="s">
        <v>353</v>
      </c>
      <c r="C7" s="407" t="s">
        <v>347</v>
      </c>
      <c r="D7" s="266">
        <v>5</v>
      </c>
      <c r="E7" s="267" t="s">
        <v>354</v>
      </c>
      <c r="F7" s="267" t="s">
        <v>345</v>
      </c>
      <c r="G7" s="266">
        <v>1</v>
      </c>
      <c r="H7" s="266">
        <v>0</v>
      </c>
      <c r="I7" s="462" t="s">
        <v>355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22</v>
      </c>
      <c r="Z7" s="132">
        <f>COUNTIF('출전기록 (26)'!C$2:M$39,'2026 토탈'!X7)</f>
        <v>16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22</v>
      </c>
      <c r="AF7" s="132">
        <f>COUNTIF('출전기록 (26)'!W$2:AG$7,'2026 토탈'!X7)+Z7</f>
        <v>16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366</v>
      </c>
      <c r="BK7" s="479">
        <v>24</v>
      </c>
      <c r="BL7" s="479">
        <v>9</v>
      </c>
      <c r="BM7" s="479">
        <v>8</v>
      </c>
      <c r="BN7" s="479">
        <v>7</v>
      </c>
      <c r="BO7" s="479">
        <v>27</v>
      </c>
      <c r="BP7" s="479">
        <v>24</v>
      </c>
      <c r="BQ7" s="479">
        <f>BO7-BP7</f>
        <v>3</v>
      </c>
      <c r="BR7" s="479">
        <v>35</v>
      </c>
    </row>
    <row r="8" spans="1:77">
      <c r="A8" s="246" t="s">
        <v>337</v>
      </c>
      <c r="B8" s="406" t="s">
        <v>356</v>
      </c>
      <c r="C8" s="407" t="s">
        <v>347</v>
      </c>
      <c r="D8" s="266">
        <v>6</v>
      </c>
      <c r="E8" s="267" t="s">
        <v>357</v>
      </c>
      <c r="F8" s="268" t="s">
        <v>341</v>
      </c>
      <c r="G8" s="266">
        <v>2</v>
      </c>
      <c r="H8" s="266">
        <v>1</v>
      </c>
      <c r="I8" s="462" t="s">
        <v>355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22</v>
      </c>
      <c r="Z8" s="132">
        <f>COUNTIF('출전기록 (26)'!C$2:M$39,'2026 토탈'!X8)</f>
        <v>22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22</v>
      </c>
      <c r="AF8" s="132">
        <f>COUNTIF('출전기록 (26)'!W$2:AG$7,'2026 토탈'!X8)+Z8</f>
        <v>22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348</v>
      </c>
      <c r="BK8" s="479">
        <v>24</v>
      </c>
      <c r="BL8" s="479">
        <v>9</v>
      </c>
      <c r="BM8" s="479">
        <v>4</v>
      </c>
      <c r="BN8" s="479">
        <v>11</v>
      </c>
      <c r="BO8" s="479">
        <v>22</v>
      </c>
      <c r="BP8" s="479">
        <v>28</v>
      </c>
      <c r="BQ8" s="479">
        <f>BO8-BP8</f>
        <v>-6</v>
      </c>
      <c r="BR8" s="479">
        <v>31</v>
      </c>
    </row>
    <row r="9" spans="1:77">
      <c r="A9" s="246" t="s">
        <v>337</v>
      </c>
      <c r="B9" s="406" t="s">
        <v>358</v>
      </c>
      <c r="C9" s="407" t="s">
        <v>339</v>
      </c>
      <c r="D9" s="266">
        <v>7</v>
      </c>
      <c r="E9" s="267" t="s">
        <v>359</v>
      </c>
      <c r="F9" s="268" t="s">
        <v>341</v>
      </c>
      <c r="G9" s="266">
        <v>1</v>
      </c>
      <c r="H9" s="266">
        <v>2</v>
      </c>
      <c r="I9" s="462" t="s">
        <v>342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21</v>
      </c>
      <c r="Z9" s="132">
        <f>COUNTIF('출전기록 (26)'!C$2:M$39,'2026 토탈'!X9)</f>
        <v>18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21</v>
      </c>
      <c r="AF9" s="132">
        <f>COUNTIF('출전기록 (26)'!W$2:AG$7,'2026 토탈'!X9)+Z9</f>
        <v>18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354</v>
      </c>
      <c r="BK9" s="479">
        <v>24</v>
      </c>
      <c r="BL9" s="479">
        <v>7</v>
      </c>
      <c r="BM9" s="479">
        <v>9</v>
      </c>
      <c r="BN9" s="479">
        <v>8</v>
      </c>
      <c r="BO9" s="479">
        <v>30</v>
      </c>
      <c r="BP9" s="479">
        <v>37</v>
      </c>
      <c r="BQ9" s="479">
        <f>BO9-BP9</f>
        <v>-7</v>
      </c>
      <c r="BR9" s="479">
        <v>30</v>
      </c>
    </row>
    <row r="10" spans="1:77">
      <c r="A10" s="246" t="s">
        <v>337</v>
      </c>
      <c r="B10" s="406" t="s">
        <v>360</v>
      </c>
      <c r="C10" s="407" t="s">
        <v>339</v>
      </c>
      <c r="D10" s="266">
        <v>8</v>
      </c>
      <c r="E10" s="267" t="s">
        <v>361</v>
      </c>
      <c r="F10" s="267" t="s">
        <v>345</v>
      </c>
      <c r="G10" s="266">
        <v>2</v>
      </c>
      <c r="H10" s="266">
        <v>2</v>
      </c>
      <c r="I10" s="462" t="s">
        <v>349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393</v>
      </c>
      <c r="BK10" s="471">
        <v>22</v>
      </c>
      <c r="BL10" s="471">
        <v>8</v>
      </c>
      <c r="BM10" s="471">
        <v>6</v>
      </c>
      <c r="BN10" s="471">
        <v>8</v>
      </c>
      <c r="BO10" s="471">
        <v>29</v>
      </c>
      <c r="BP10" s="471">
        <v>25</v>
      </c>
      <c r="BQ10" s="471">
        <f>BO10-BP10</f>
        <v>4</v>
      </c>
      <c r="BR10" s="471">
        <v>30</v>
      </c>
    </row>
    <row r="11" spans="1:77">
      <c r="A11" s="246" t="s">
        <v>337</v>
      </c>
      <c r="B11" s="406" t="s">
        <v>362</v>
      </c>
      <c r="C11" s="407" t="s">
        <v>363</v>
      </c>
      <c r="D11" s="266">
        <v>9</v>
      </c>
      <c r="E11" s="267" t="s">
        <v>364</v>
      </c>
      <c r="F11" s="267" t="s">
        <v>345</v>
      </c>
      <c r="G11" s="266">
        <v>2</v>
      </c>
      <c r="H11" s="266">
        <v>1</v>
      </c>
      <c r="I11" s="462" t="s">
        <v>355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22</v>
      </c>
      <c r="Z11" s="132">
        <f>COUNTIF('출전기록 (26)'!C$2:M$39,'2026 토탈'!X11)</f>
        <v>13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22</v>
      </c>
      <c r="AF11" s="132">
        <f>COUNTIF('출전기록 (26)'!W$2:AG$7,'2026 토탈'!X11)+Z11</f>
        <v>13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361</v>
      </c>
      <c r="BK11" s="479">
        <v>24</v>
      </c>
      <c r="BL11" s="479">
        <v>7</v>
      </c>
      <c r="BM11" s="479">
        <v>9</v>
      </c>
      <c r="BN11" s="479">
        <v>8</v>
      </c>
      <c r="BO11" s="479">
        <v>27</v>
      </c>
      <c r="BP11" s="479">
        <v>27</v>
      </c>
      <c r="BQ11" s="479">
        <f>BO11-BP11</f>
        <v>0</v>
      </c>
      <c r="BR11" s="479">
        <v>30</v>
      </c>
    </row>
    <row r="12" spans="1:77">
      <c r="A12" s="246" t="s">
        <v>337</v>
      </c>
      <c r="B12" s="406" t="s">
        <v>365</v>
      </c>
      <c r="C12" s="407" t="s">
        <v>339</v>
      </c>
      <c r="D12" s="266">
        <v>10</v>
      </c>
      <c r="E12" s="267" t="s">
        <v>366</v>
      </c>
      <c r="F12" s="268" t="s">
        <v>341</v>
      </c>
      <c r="G12" s="266">
        <v>1</v>
      </c>
      <c r="H12" s="266">
        <v>0</v>
      </c>
      <c r="I12" s="462" t="s">
        <v>355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352</v>
      </c>
      <c r="BK12" s="479">
        <v>23</v>
      </c>
      <c r="BL12" s="479">
        <v>6</v>
      </c>
      <c r="BM12" s="479">
        <v>8</v>
      </c>
      <c r="BN12" s="479">
        <v>9</v>
      </c>
      <c r="BO12" s="479">
        <v>29</v>
      </c>
      <c r="BP12" s="479">
        <v>28</v>
      </c>
      <c r="BQ12" s="479">
        <f>BO12-BP12</f>
        <v>1</v>
      </c>
      <c r="BR12" s="479">
        <v>26</v>
      </c>
    </row>
    <row r="13" spans="1:77">
      <c r="A13" s="246" t="s">
        <v>337</v>
      </c>
      <c r="B13" s="406" t="s">
        <v>367</v>
      </c>
      <c r="C13" s="407" t="s">
        <v>339</v>
      </c>
      <c r="D13" s="266">
        <v>11</v>
      </c>
      <c r="E13" s="267" t="s">
        <v>368</v>
      </c>
      <c r="F13" s="268" t="s">
        <v>341</v>
      </c>
      <c r="G13" s="266">
        <v>0</v>
      </c>
      <c r="H13" s="266">
        <v>1</v>
      </c>
      <c r="I13" s="462" t="s">
        <v>342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2</v>
      </c>
      <c r="AO13" s="243">
        <f t="shared" si="14"/>
        <v>1</v>
      </c>
      <c r="AP13" s="243">
        <f t="shared" si="15"/>
        <v>0</v>
      </c>
      <c r="AQ13" s="351">
        <f t="shared" si="16"/>
        <v>1</v>
      </c>
      <c r="AR13" s="352">
        <f t="shared" si="17"/>
        <v>3</v>
      </c>
      <c r="AS13" s="23">
        <f>AO13/AN13</f>
        <v>0.5</v>
      </c>
      <c r="AT13" s="2">
        <f t="shared" si="18"/>
        <v>6</v>
      </c>
      <c r="AU13" s="2">
        <f t="shared" si="19"/>
        <v>3</v>
      </c>
      <c r="AV13" s="2">
        <f t="shared" si="20"/>
        <v>3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357</v>
      </c>
      <c r="BK13" s="479">
        <v>24</v>
      </c>
      <c r="BL13" s="479">
        <v>4</v>
      </c>
      <c r="BM13" s="479">
        <v>14</v>
      </c>
      <c r="BN13" s="479">
        <v>6</v>
      </c>
      <c r="BO13" s="479">
        <v>23</v>
      </c>
      <c r="BP13" s="479">
        <v>29</v>
      </c>
      <c r="BQ13" s="479">
        <f>BO13-BP13</f>
        <v>-6</v>
      </c>
      <c r="BR13" s="479">
        <v>26</v>
      </c>
    </row>
    <row r="14" spans="1:77" ht="17.5" customHeight="1">
      <c r="A14" s="367" t="s">
        <v>337</v>
      </c>
      <c r="B14" s="396" t="s">
        <v>369</v>
      </c>
      <c r="C14" s="397" t="s">
        <v>363</v>
      </c>
      <c r="D14" s="319">
        <v>12</v>
      </c>
      <c r="E14" s="352" t="s">
        <v>352</v>
      </c>
      <c r="F14" s="352" t="s">
        <v>345</v>
      </c>
      <c r="G14" s="319">
        <v>0</v>
      </c>
      <c r="H14" s="319">
        <v>0</v>
      </c>
      <c r="I14" s="463" t="s">
        <v>349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9</v>
      </c>
      <c r="Z14" s="132">
        <f>COUNTIF('출전기록 (26)'!C$2:M$39,'2026 토탈'!X14)</f>
        <v>4</v>
      </c>
      <c r="AA14" s="132">
        <f>COUNTIF('출전기록 (26)'!N$2:S$39,'2026 토탈'!X14)</f>
        <v>5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9</v>
      </c>
      <c r="AF14" s="132">
        <f>COUNTIF('출전기록 (26)'!W$2:AG$7,'2026 토탈'!X14)+Z14</f>
        <v>4</v>
      </c>
      <c r="AG14" s="132">
        <f>COUNTIF('출전기록 (26)'!AH$2:AM$7,'2026 토탈'!X14)+AA14</f>
        <v>5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344</v>
      </c>
      <c r="BK14" s="472">
        <v>23</v>
      </c>
      <c r="BL14" s="472">
        <v>1</v>
      </c>
      <c r="BM14" s="472">
        <v>8</v>
      </c>
      <c r="BN14" s="472">
        <v>14</v>
      </c>
      <c r="BO14" s="472">
        <v>12</v>
      </c>
      <c r="BP14" s="472">
        <v>49</v>
      </c>
      <c r="BQ14" s="472">
        <f>BO14-BP14</f>
        <v>-37</v>
      </c>
      <c r="BR14" s="472">
        <v>11</v>
      </c>
    </row>
    <row r="15" spans="1:77" ht="17.5" customHeight="1">
      <c r="A15" s="367" t="s">
        <v>337</v>
      </c>
      <c r="B15" s="396" t="s">
        <v>370</v>
      </c>
      <c r="C15" s="397" t="s">
        <v>339</v>
      </c>
      <c r="D15" s="319">
        <v>13</v>
      </c>
      <c r="E15" s="352" t="s">
        <v>357</v>
      </c>
      <c r="F15" s="352" t="s">
        <v>345</v>
      </c>
      <c r="G15" s="319">
        <v>3</v>
      </c>
      <c r="H15" s="319">
        <v>0</v>
      </c>
      <c r="I15" s="463" t="s">
        <v>355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22</v>
      </c>
      <c r="BC15" s="243">
        <f>SUM(BC3:BC14)</f>
        <v>8</v>
      </c>
      <c r="BD15" s="467">
        <f>SUM(BD3:BD14)</f>
        <v>6</v>
      </c>
      <c r="BE15" s="468">
        <f>SUM(BE3:BE14)</f>
        <v>8</v>
      </c>
      <c r="BF15" s="89">
        <f>SUM(BF3:BF14)</f>
        <v>30</v>
      </c>
      <c r="BG15" s="11">
        <f t="shared" si="12"/>
        <v>0.36363636363636365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337</v>
      </c>
      <c r="B16" s="396" t="s">
        <v>371</v>
      </c>
      <c r="C16" s="397" t="s">
        <v>363</v>
      </c>
      <c r="D16" s="319">
        <v>14</v>
      </c>
      <c r="E16" s="352" t="s">
        <v>348</v>
      </c>
      <c r="F16" s="401" t="s">
        <v>341</v>
      </c>
      <c r="G16" s="319">
        <v>0</v>
      </c>
      <c r="H16" s="319">
        <v>1</v>
      </c>
      <c r="I16" s="463" t="s">
        <v>342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72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337</v>
      </c>
      <c r="B17" s="396" t="s">
        <v>372</v>
      </c>
      <c r="C17" s="397" t="s">
        <v>339</v>
      </c>
      <c r="D17" s="319">
        <v>15</v>
      </c>
      <c r="E17" s="352" t="s">
        <v>344</v>
      </c>
      <c r="F17" s="401" t="s">
        <v>341</v>
      </c>
      <c r="G17" s="319">
        <v>4</v>
      </c>
      <c r="H17" s="319">
        <v>0</v>
      </c>
      <c r="I17" s="463" t="s">
        <v>355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337</v>
      </c>
      <c r="B18" s="396" t="s">
        <v>373</v>
      </c>
      <c r="C18" s="397" t="s">
        <v>347</v>
      </c>
      <c r="D18" s="319">
        <v>16</v>
      </c>
      <c r="E18" s="352" t="s">
        <v>340</v>
      </c>
      <c r="F18" s="352" t="s">
        <v>345</v>
      </c>
      <c r="G18" s="319">
        <v>0</v>
      </c>
      <c r="H18" s="319">
        <v>1</v>
      </c>
      <c r="I18" s="463" t="s">
        <v>342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4</v>
      </c>
      <c r="Z18" s="132">
        <f>COUNTIF('출전기록 (26)'!C$2:M$39,'2026 토탈'!X18)</f>
        <v>1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4</v>
      </c>
      <c r="AF18" s="132">
        <f>COUNTIF('출전기록 (26)'!W$2:AG$7,'2026 토탈'!X18)+Z18</f>
        <v>1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337</v>
      </c>
      <c r="B19" s="396" t="s">
        <v>374</v>
      </c>
      <c r="C19" s="397" t="s">
        <v>347</v>
      </c>
      <c r="D19" s="319">
        <v>17</v>
      </c>
      <c r="E19" s="352" t="s">
        <v>354</v>
      </c>
      <c r="F19" s="401" t="s">
        <v>341</v>
      </c>
      <c r="G19" s="319">
        <v>0</v>
      </c>
      <c r="H19" s="319">
        <v>1</v>
      </c>
      <c r="I19" s="463" t="s">
        <v>342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337</v>
      </c>
      <c r="B20" s="396" t="s">
        <v>375</v>
      </c>
      <c r="C20" s="397" t="s">
        <v>339</v>
      </c>
      <c r="D20" s="319">
        <v>18</v>
      </c>
      <c r="E20" s="352" t="s">
        <v>364</v>
      </c>
      <c r="F20" s="401" t="s">
        <v>341</v>
      </c>
      <c r="G20" s="319">
        <v>1</v>
      </c>
      <c r="H20" s="319">
        <v>0</v>
      </c>
      <c r="I20" s="463" t="s">
        <v>355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337</v>
      </c>
      <c r="B21" s="396" t="s">
        <v>376</v>
      </c>
      <c r="C21" s="397" t="s">
        <v>363</v>
      </c>
      <c r="D21" s="319">
        <v>19</v>
      </c>
      <c r="E21" s="352" t="s">
        <v>359</v>
      </c>
      <c r="F21" s="352" t="s">
        <v>345</v>
      </c>
      <c r="G21" s="319">
        <v>2</v>
      </c>
      <c r="H21" s="319">
        <v>1</v>
      </c>
      <c r="I21" s="463" t="s">
        <v>355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15</v>
      </c>
      <c r="Z21" s="132">
        <f>COUNTIF('출전기록 (26)'!C$2:M$39,'2026 토탈'!X21)</f>
        <v>14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15</v>
      </c>
      <c r="AF21" s="132">
        <f>COUNTIF('출전기록 (26)'!W$2:AG$7,'2026 토탈'!X21)+Z21</f>
        <v>14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337</v>
      </c>
      <c r="B22" s="396" t="s">
        <v>377</v>
      </c>
      <c r="C22" s="397" t="s">
        <v>347</v>
      </c>
      <c r="D22" s="319">
        <v>20</v>
      </c>
      <c r="E22" s="352" t="s">
        <v>361</v>
      </c>
      <c r="F22" s="401" t="s">
        <v>341</v>
      </c>
      <c r="G22" s="319">
        <v>1</v>
      </c>
      <c r="H22" s="319">
        <v>1</v>
      </c>
      <c r="I22" s="463" t="s">
        <v>349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21</v>
      </c>
      <c r="Z22" s="132">
        <f>COUNTIF('출전기록 (26)'!C$2:M$39,'2026 토탈'!X22)</f>
        <v>21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21</v>
      </c>
      <c r="AF22" s="132">
        <f>COUNTIF('출전기록 (26)'!W$2:AG$7,'2026 토탈'!X22)+Z22</f>
        <v>21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337</v>
      </c>
      <c r="B23" s="396" t="s">
        <v>378</v>
      </c>
      <c r="C23" s="397" t="s">
        <v>347</v>
      </c>
      <c r="D23" s="319">
        <v>21</v>
      </c>
      <c r="E23" s="352" t="s">
        <v>366</v>
      </c>
      <c r="F23" s="352" t="s">
        <v>345</v>
      </c>
      <c r="G23" s="319">
        <v>3</v>
      </c>
      <c r="H23" s="319">
        <v>3</v>
      </c>
      <c r="I23" s="463" t="s">
        <v>349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20</v>
      </c>
      <c r="Z23" s="132">
        <f>COUNTIF('출전기록 (26)'!C$2:M$39,'2026 토탈'!X23)</f>
        <v>20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20</v>
      </c>
      <c r="AF23" s="132">
        <f>COUNTIF('출전기록 (26)'!W$2:AG$7,'2026 토탈'!X23)+Z23</f>
        <v>20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337</v>
      </c>
      <c r="B24" s="396" t="s">
        <v>379</v>
      </c>
      <c r="C24" s="397" t="s">
        <v>347</v>
      </c>
      <c r="D24" s="319">
        <v>22</v>
      </c>
      <c r="E24" s="352" t="s">
        <v>368</v>
      </c>
      <c r="F24" s="352" t="s">
        <v>345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21</v>
      </c>
      <c r="Z24" s="132">
        <f>COUNTIF('출전기록 (26)'!C$2:M$39,'2026 토탈'!X24)</f>
        <v>18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21</v>
      </c>
      <c r="AF24" s="132">
        <f>COUNTIF('출전기록 (26)'!W$2:AG$7,'2026 토탈'!X24)+Z24</f>
        <v>18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337</v>
      </c>
      <c r="B25" s="406" t="s">
        <v>380</v>
      </c>
      <c r="C25" s="407" t="s">
        <v>347</v>
      </c>
      <c r="D25" s="266">
        <v>23</v>
      </c>
      <c r="E25" s="267" t="s">
        <v>357</v>
      </c>
      <c r="F25" s="268" t="s">
        <v>341</v>
      </c>
      <c r="G25" s="266">
        <v>1</v>
      </c>
      <c r="H25" s="266">
        <v>1</v>
      </c>
      <c r="I25" s="380" t="s">
        <v>349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15</v>
      </c>
      <c r="Z25" s="132">
        <f>COUNTIF('출전기록 (26)'!C$2:M$39,'2026 토탈'!X25)</f>
        <v>2</v>
      </c>
      <c r="AA25" s="132">
        <f>COUNTIF('출전기록 (26)'!N$2:S$39,'2026 토탈'!X25)</f>
        <v>13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15</v>
      </c>
      <c r="AF25" s="132">
        <f>COUNTIF('출전기록 (26)'!W$2:AG$7,'2026 토탈'!X25)+Z25</f>
        <v>2</v>
      </c>
      <c r="AG25" s="132">
        <f>COUNTIF('출전기록 (26)'!AH$2:AM$7,'2026 토탈'!X25)+AA25</f>
        <v>13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337</v>
      </c>
      <c r="B26" s="406" t="s">
        <v>381</v>
      </c>
      <c r="C26" s="407" t="s">
        <v>347</v>
      </c>
      <c r="D26" s="266">
        <v>24</v>
      </c>
      <c r="E26" s="267" t="s">
        <v>344</v>
      </c>
      <c r="F26" s="267" t="s">
        <v>345</v>
      </c>
      <c r="G26" s="266"/>
      <c r="H26" s="266"/>
      <c r="I26" s="380"/>
      <c r="J26" s="374"/>
      <c r="K26" s="266"/>
      <c r="L26" s="269"/>
      <c r="M26" s="246"/>
      <c r="N26" s="270"/>
      <c r="O26" s="270"/>
      <c r="P26" s="271"/>
      <c r="Q26" s="272"/>
      <c r="R26" s="270"/>
      <c r="S26" s="270"/>
      <c r="T26" s="270"/>
      <c r="U26" s="273"/>
      <c r="V26" s="274"/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337</v>
      </c>
      <c r="B27" s="406" t="s">
        <v>382</v>
      </c>
      <c r="C27" s="407" t="s">
        <v>351</v>
      </c>
      <c r="D27" s="266">
        <v>25</v>
      </c>
      <c r="E27" s="4" t="s">
        <v>354</v>
      </c>
      <c r="F27" s="267" t="s">
        <v>345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337</v>
      </c>
      <c r="B28" s="406" t="s">
        <v>383</v>
      </c>
      <c r="C28" s="407" t="s">
        <v>347</v>
      </c>
      <c r="D28" s="266">
        <v>26</v>
      </c>
      <c r="E28" s="267" t="s">
        <v>364</v>
      </c>
      <c r="F28" s="268" t="s">
        <v>341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337</v>
      </c>
      <c r="B29" s="406" t="s">
        <v>384</v>
      </c>
      <c r="C29" s="407" t="s">
        <v>339</v>
      </c>
      <c r="D29" s="266">
        <v>27</v>
      </c>
      <c r="E29" s="267" t="s">
        <v>340</v>
      </c>
      <c r="F29" s="267" t="s">
        <v>345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337</v>
      </c>
      <c r="B30" s="406" t="s">
        <v>385</v>
      </c>
      <c r="C30" s="407" t="s">
        <v>363</v>
      </c>
      <c r="D30" s="266">
        <v>28</v>
      </c>
      <c r="E30" s="267" t="s">
        <v>361</v>
      </c>
      <c r="F30" s="268" t="s">
        <v>341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337</v>
      </c>
      <c r="B31" s="406" t="s">
        <v>386</v>
      </c>
      <c r="C31" s="407" t="s">
        <v>339</v>
      </c>
      <c r="D31" s="266">
        <v>29</v>
      </c>
      <c r="E31" s="4" t="s">
        <v>359</v>
      </c>
      <c r="F31" s="267" t="s">
        <v>345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337</v>
      </c>
      <c r="B32" s="406" t="s">
        <v>387</v>
      </c>
      <c r="C32" s="407" t="s">
        <v>347</v>
      </c>
      <c r="D32" s="266">
        <v>30</v>
      </c>
      <c r="E32" s="267" t="s">
        <v>352</v>
      </c>
      <c r="F32" s="268" t="s">
        <v>341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337</v>
      </c>
      <c r="B33" s="406" t="s">
        <v>388</v>
      </c>
      <c r="C33" s="407" t="s">
        <v>389</v>
      </c>
      <c r="D33" s="266">
        <v>31</v>
      </c>
      <c r="E33" s="267" t="s">
        <v>348</v>
      </c>
      <c r="F33" s="268" t="s">
        <v>341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18</v>
      </c>
      <c r="Z33" s="132">
        <f>COUNTIF('출전기록 (26)'!C$2:M$39,'2026 토탈'!X33)</f>
        <v>17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18</v>
      </c>
      <c r="AF33" s="132">
        <f>COUNTIF('출전기록 (26)'!W$2:AG$7,'2026 토탈'!X33)+Z33</f>
        <v>17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337</v>
      </c>
      <c r="B34" s="406" t="s">
        <v>390</v>
      </c>
      <c r="C34" s="407" t="s">
        <v>347</v>
      </c>
      <c r="D34" s="266">
        <v>32</v>
      </c>
      <c r="E34" s="267" t="s">
        <v>368</v>
      </c>
      <c r="F34" s="267" t="s">
        <v>345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337</v>
      </c>
      <c r="B35" s="406" t="s">
        <v>391</v>
      </c>
      <c r="C35" s="407" t="s">
        <v>339</v>
      </c>
      <c r="D35" s="266">
        <v>33</v>
      </c>
      <c r="E35" s="267" t="s">
        <v>366</v>
      </c>
      <c r="F35" s="268" t="s">
        <v>341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337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337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337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337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337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0</v>
      </c>
      <c r="Z41" s="474">
        <f>COUNTIF('출전기록 (26)'!C$2:M$39,'2026 토탈'!X41)</f>
        <v>0</v>
      </c>
      <c r="AA41" s="474">
        <f>COUNTIF('출전기록 (26)'!N$2:S$39,'2026 토탈'!X41)</f>
        <v>0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0</v>
      </c>
      <c r="AF41" s="475">
        <f>COUNTIF('출전기록 (26)'!W$2:AG$7,'2026 토탈'!X41)+Z41</f>
        <v>0</v>
      </c>
      <c r="AG41" s="475">
        <f>COUNTIF('출전기록 (26)'!AH$2:AM$7,'2026 토탈'!X41)+AA41</f>
        <v>0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</row>
    <row r="43" spans="1:36">
      <c r="M43" s="352" t="s">
        <v>2</v>
      </c>
      <c r="N43" s="352" t="s">
        <v>121</v>
      </c>
      <c r="O43" s="352" t="s">
        <v>122</v>
      </c>
      <c r="P43" s="352" t="s">
        <v>123</v>
      </c>
      <c r="Q43" s="352" t="s">
        <v>121</v>
      </c>
      <c r="R43" s="352" t="s">
        <v>122</v>
      </c>
      <c r="S43" s="352" t="s">
        <v>123</v>
      </c>
      <c r="T43" s="352" t="s">
        <v>124</v>
      </c>
    </row>
    <row r="44" spans="1:36">
      <c r="M44" s="2" t="s">
        <v>42</v>
      </c>
      <c r="N44" s="2">
        <f>COUNT(U3:U40)</f>
        <v>12</v>
      </c>
      <c r="O44" s="96">
        <f>SUMIFS(U3:U41,A3:A41,M44)</f>
        <v>121824</v>
      </c>
      <c r="P44" s="96">
        <f>O44/N44</f>
        <v>10152</v>
      </c>
      <c r="Q44" s="136">
        <v>19</v>
      </c>
      <c r="R44" s="136">
        <v>193302</v>
      </c>
      <c r="S44" s="137">
        <v>10173.78947368421</v>
      </c>
      <c r="T44" s="165">
        <f>(P44-S44)/S44</f>
        <v>-2.1417264177297137E-3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125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340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344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348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126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352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127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354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128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357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129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359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361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364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366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368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352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357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348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344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340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354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364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359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361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366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368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357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344</v>
      </c>
      <c r="C25" s="297"/>
      <c r="D25" s="243"/>
      <c r="E25" s="243"/>
      <c r="F25" s="243"/>
      <c r="G25" s="243"/>
      <c r="H25" s="243"/>
      <c r="I25" s="243"/>
      <c r="J25" s="243"/>
      <c r="K25" s="243"/>
      <c r="L25" s="243"/>
      <c r="M25" s="298"/>
      <c r="N25" s="110"/>
      <c r="O25" s="2"/>
      <c r="P25" s="2"/>
      <c r="Q25" s="2"/>
      <c r="R25" s="159"/>
      <c r="S25" s="51"/>
      <c r="T25" s="1"/>
    </row>
    <row r="26" spans="1:20">
      <c r="A26" s="159">
        <v>25</v>
      </c>
      <c r="B26" s="264" t="s">
        <v>354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364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340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361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359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352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348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368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366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130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131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72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72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72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132</v>
      </c>
      <c r="B77" s="448" t="s">
        <v>121</v>
      </c>
      <c r="C77" s="448" t="s">
        <v>10</v>
      </c>
      <c r="D77" s="448" t="s">
        <v>35</v>
      </c>
      <c r="E77" s="448"/>
    </row>
    <row r="78" spans="1:5">
      <c r="A78" s="445" t="s">
        <v>133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134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135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136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137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138</v>
      </c>
      <c r="S3" s="288"/>
      <c r="T3" s="288"/>
      <c r="U3" s="289">
        <v>9363</v>
      </c>
      <c r="V3" s="274" t="s">
        <v>139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139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140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141</v>
      </c>
      <c r="R4" s="270" t="s">
        <v>46</v>
      </c>
      <c r="S4" s="270"/>
      <c r="T4" s="270"/>
      <c r="U4" s="273">
        <v>18173</v>
      </c>
      <c r="V4" s="274" t="s">
        <v>142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142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143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144</v>
      </c>
      <c r="X5" s="60" t="s">
        <v>138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144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145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146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146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147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148</v>
      </c>
      <c r="X7" s="60" t="s">
        <v>141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137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148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149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150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140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150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151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152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143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152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153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139</v>
      </c>
      <c r="X10" s="60" t="s">
        <v>154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145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155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142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147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156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154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155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149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157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138</v>
      </c>
      <c r="O13" s="270" t="s">
        <v>71</v>
      </c>
      <c r="P13" s="271"/>
      <c r="Q13" s="272" t="s">
        <v>74</v>
      </c>
      <c r="R13" s="270" t="s">
        <v>46</v>
      </c>
      <c r="S13" s="270" t="s">
        <v>138</v>
      </c>
      <c r="T13" s="270"/>
      <c r="U13" s="273"/>
      <c r="V13" s="274" t="s">
        <v>144</v>
      </c>
      <c r="X13" s="60" t="s">
        <v>158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151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159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160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152</v>
      </c>
      <c r="X14" s="60" t="s">
        <v>161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153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162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163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148</v>
      </c>
      <c r="X15" s="60" t="s">
        <v>164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153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165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166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150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157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167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140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138</v>
      </c>
      <c r="S18" s="58"/>
      <c r="T18" s="58"/>
      <c r="U18" s="248"/>
      <c r="V18" s="93" t="s">
        <v>148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160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168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149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156</v>
      </c>
      <c r="X19" s="327" t="s">
        <v>169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163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159</v>
      </c>
      <c r="X20" s="327" t="s">
        <v>170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163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148</v>
      </c>
      <c r="X21" s="327" t="s">
        <v>171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172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157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138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173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137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170</v>
      </c>
      <c r="O23" s="58"/>
      <c r="P23" s="59"/>
      <c r="Q23" s="143" t="s">
        <v>80</v>
      </c>
      <c r="R23" s="58"/>
      <c r="S23" s="58"/>
      <c r="T23" s="58"/>
      <c r="U23" s="248"/>
      <c r="V23" s="93" t="s">
        <v>162</v>
      </c>
      <c r="X23" s="327" t="s">
        <v>174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160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170</v>
      </c>
      <c r="O24" s="58" t="s">
        <v>71</v>
      </c>
      <c r="P24" s="59" t="s">
        <v>46</v>
      </c>
      <c r="Q24" s="143" t="s">
        <v>170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175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145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166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147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170</v>
      </c>
      <c r="O26" s="58"/>
      <c r="P26" s="59"/>
      <c r="Q26" s="143" t="s">
        <v>71</v>
      </c>
      <c r="R26" s="58" t="s">
        <v>141</v>
      </c>
      <c r="S26" s="58"/>
      <c r="T26" s="58"/>
      <c r="U26" s="248"/>
      <c r="V26" s="93" t="s">
        <v>167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143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141</v>
      </c>
      <c r="R27" s="58"/>
      <c r="S27" s="58"/>
      <c r="T27" s="58"/>
      <c r="U27" s="248">
        <v>9352</v>
      </c>
      <c r="V27" s="93" t="s">
        <v>150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151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170</v>
      </c>
      <c r="U28" s="248"/>
      <c r="V28" s="93" t="s">
        <v>155</v>
      </c>
      <c r="X28" s="329" t="s">
        <v>176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157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167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153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170</v>
      </c>
      <c r="P31" s="271" t="s">
        <v>46</v>
      </c>
      <c r="Q31" s="272" t="s">
        <v>170</v>
      </c>
      <c r="R31" s="270"/>
      <c r="S31" s="270" t="s">
        <v>71</v>
      </c>
      <c r="T31" s="270" t="s">
        <v>64</v>
      </c>
      <c r="U31" s="273"/>
      <c r="V31" s="274" t="s">
        <v>139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168</v>
      </c>
      <c r="X32" s="329" t="s">
        <v>177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145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148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149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166</v>
      </c>
      <c r="X34" s="330" t="s">
        <v>178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140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143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148</v>
      </c>
      <c r="X36" s="330" t="s">
        <v>179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160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170</v>
      </c>
      <c r="R37" s="270"/>
      <c r="S37" s="270"/>
      <c r="T37" s="270"/>
      <c r="U37" s="273"/>
      <c r="V37" s="274" t="s">
        <v>155</v>
      </c>
      <c r="X37" s="330" t="s">
        <v>180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137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138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172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147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181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163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141</v>
      </c>
      <c r="R40" s="281"/>
      <c r="S40" s="281"/>
      <c r="T40" s="281"/>
      <c r="U40" s="395"/>
      <c r="V40" s="274" t="s">
        <v>58</v>
      </c>
      <c r="X40" s="356" t="s">
        <v>182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151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166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183</v>
      </c>
      <c r="E42" s="378" t="s">
        <v>184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154</v>
      </c>
      <c r="R42" s="311" t="s">
        <v>154</v>
      </c>
      <c r="S42" s="311"/>
      <c r="T42" s="311"/>
      <c r="U42" s="322"/>
      <c r="V42" s="323" t="s">
        <v>185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186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181</v>
      </c>
      <c r="O43" s="320"/>
      <c r="P43" s="368"/>
      <c r="Q43" s="363" t="s">
        <v>141</v>
      </c>
      <c r="R43" s="320" t="s">
        <v>109</v>
      </c>
      <c r="S43" s="320"/>
      <c r="T43" s="320"/>
      <c r="U43" s="321">
        <v>2303</v>
      </c>
      <c r="V43" s="312" t="s">
        <v>187</v>
      </c>
      <c r="X43" s="357" t="s">
        <v>188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126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189</v>
      </c>
    </row>
    <row r="48" spans="1:36">
      <c r="M48" s="352" t="s">
        <v>2</v>
      </c>
      <c r="N48" s="352" t="s">
        <v>121</v>
      </c>
      <c r="O48" s="352" t="s">
        <v>122</v>
      </c>
      <c r="P48" s="352" t="s">
        <v>123</v>
      </c>
      <c r="Q48" s="352" t="s">
        <v>121</v>
      </c>
      <c r="R48" s="352" t="s">
        <v>122</v>
      </c>
      <c r="S48" s="352" t="s">
        <v>123</v>
      </c>
      <c r="T48" s="352" t="s">
        <v>124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190</v>
      </c>
      <c r="B2" s="264" t="s">
        <v>137</v>
      </c>
      <c r="C2" s="297" t="s">
        <v>178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169</v>
      </c>
      <c r="J2" s="243" t="s">
        <v>141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138</v>
      </c>
      <c r="Q2" s="2" t="s">
        <v>87</v>
      </c>
      <c r="R2" s="159" t="s">
        <v>59</v>
      </c>
      <c r="S2" s="51"/>
      <c r="T2" s="1"/>
      <c r="V2" s="159" t="s">
        <v>183</v>
      </c>
      <c r="W2" s="297" t="s">
        <v>180</v>
      </c>
      <c r="X2" s="243" t="s">
        <v>188</v>
      </c>
      <c r="Y2" s="243" t="s">
        <v>177</v>
      </c>
      <c r="Z2" s="243" t="s">
        <v>99</v>
      </c>
      <c r="AA2" s="243" t="s">
        <v>174</v>
      </c>
      <c r="AB2" s="243" t="s">
        <v>93</v>
      </c>
      <c r="AC2" s="243" t="s">
        <v>169</v>
      </c>
      <c r="AD2" s="243" t="s">
        <v>164</v>
      </c>
      <c r="AE2" s="243" t="s">
        <v>154</v>
      </c>
      <c r="AF2" s="243" t="s">
        <v>92</v>
      </c>
      <c r="AG2" s="298" t="s">
        <v>112</v>
      </c>
      <c r="AH2" s="110" t="s">
        <v>109</v>
      </c>
      <c r="AI2" s="2" t="s">
        <v>173</v>
      </c>
      <c r="AJ2" s="2" t="s">
        <v>181</v>
      </c>
      <c r="AK2" s="2" t="s">
        <v>161</v>
      </c>
      <c r="AL2" s="51" t="s">
        <v>158</v>
      </c>
      <c r="AM2" s="51"/>
    </row>
    <row r="3" spans="1:39">
      <c r="A3" s="159" t="s">
        <v>183</v>
      </c>
      <c r="B3" s="264" t="s">
        <v>140</v>
      </c>
      <c r="C3" s="297" t="s">
        <v>178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141</v>
      </c>
      <c r="K3" s="243" t="s">
        <v>71</v>
      </c>
      <c r="L3" s="243" t="s">
        <v>54</v>
      </c>
      <c r="M3" s="298" t="s">
        <v>46</v>
      </c>
      <c r="N3" s="110" t="s">
        <v>176</v>
      </c>
      <c r="O3" s="2" t="s">
        <v>110</v>
      </c>
      <c r="P3" s="2" t="s">
        <v>169</v>
      </c>
      <c r="Q3" s="2" t="s">
        <v>138</v>
      </c>
      <c r="R3" s="159" t="s">
        <v>87</v>
      </c>
      <c r="S3" s="51"/>
      <c r="T3" s="1"/>
      <c r="V3" s="159" t="s">
        <v>115</v>
      </c>
      <c r="W3" s="297" t="s">
        <v>180</v>
      </c>
      <c r="X3" s="243" t="s">
        <v>188</v>
      </c>
      <c r="Y3" s="243" t="s">
        <v>177</v>
      </c>
      <c r="Z3" s="243" t="s">
        <v>99</v>
      </c>
      <c r="AA3" s="243" t="s">
        <v>176</v>
      </c>
      <c r="AB3" s="243" t="s">
        <v>110</v>
      </c>
      <c r="AC3" s="243" t="s">
        <v>169</v>
      </c>
      <c r="AD3" s="243" t="s">
        <v>87</v>
      </c>
      <c r="AE3" s="243" t="s">
        <v>141</v>
      </c>
      <c r="AF3" s="243" t="s">
        <v>92</v>
      </c>
      <c r="AG3" s="298" t="s">
        <v>112</v>
      </c>
      <c r="AH3" s="110" t="s">
        <v>109</v>
      </c>
      <c r="AI3" s="2" t="s">
        <v>173</v>
      </c>
      <c r="AJ3" s="2" t="s">
        <v>181</v>
      </c>
      <c r="AK3" s="2" t="s">
        <v>182</v>
      </c>
      <c r="AL3" s="51" t="s">
        <v>158</v>
      </c>
      <c r="AM3" s="51" t="s">
        <v>164</v>
      </c>
    </row>
    <row r="4" spans="1:39">
      <c r="A4" s="159" t="s">
        <v>115</v>
      </c>
      <c r="B4" s="264" t="s">
        <v>143</v>
      </c>
      <c r="C4" s="297" t="s">
        <v>178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169</v>
      </c>
      <c r="J4" s="243" t="s">
        <v>141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138</v>
      </c>
      <c r="P4" s="2" t="s">
        <v>87</v>
      </c>
      <c r="Q4" s="2" t="s">
        <v>181</v>
      </c>
      <c r="R4" s="159" t="s">
        <v>59</v>
      </c>
      <c r="S4" s="51"/>
      <c r="T4" s="1"/>
      <c r="V4" s="159" t="s">
        <v>126</v>
      </c>
      <c r="W4" s="297" t="s">
        <v>107</v>
      </c>
      <c r="X4" s="243" t="s">
        <v>80</v>
      </c>
      <c r="Y4" s="243" t="s">
        <v>177</v>
      </c>
      <c r="Z4" s="243" t="s">
        <v>99</v>
      </c>
      <c r="AA4" s="243" t="s">
        <v>176</v>
      </c>
      <c r="AB4" s="243" t="s">
        <v>93</v>
      </c>
      <c r="AC4" s="243" t="s">
        <v>169</v>
      </c>
      <c r="AD4" s="243" t="s">
        <v>181</v>
      </c>
      <c r="AE4" s="243" t="s">
        <v>141</v>
      </c>
      <c r="AF4" s="243" t="s">
        <v>154</v>
      </c>
      <c r="AG4" s="298" t="s">
        <v>158</v>
      </c>
      <c r="AH4" s="110" t="s">
        <v>87</v>
      </c>
      <c r="AI4" s="2" t="s">
        <v>188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191</v>
      </c>
      <c r="B5" s="264" t="s">
        <v>145</v>
      </c>
      <c r="C5" s="297" t="s">
        <v>178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141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138</v>
      </c>
      <c r="P5" s="2" t="s">
        <v>54</v>
      </c>
      <c r="Q5" s="2" t="s">
        <v>59</v>
      </c>
      <c r="R5" s="159" t="s">
        <v>170</v>
      </c>
      <c r="S5" s="51"/>
      <c r="T5" s="1"/>
      <c r="V5" s="159" t="s">
        <v>127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192</v>
      </c>
      <c r="B6" s="264" t="s">
        <v>147</v>
      </c>
      <c r="C6" s="297" t="s">
        <v>178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141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138</v>
      </c>
      <c r="P6" s="2" t="s">
        <v>154</v>
      </c>
      <c r="Q6" s="2" t="s">
        <v>46</v>
      </c>
      <c r="R6" s="159" t="s">
        <v>170</v>
      </c>
      <c r="S6" s="51"/>
      <c r="T6" s="1"/>
      <c r="V6" s="159" t="s">
        <v>128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193</v>
      </c>
      <c r="B7" s="264" t="s">
        <v>149</v>
      </c>
      <c r="C7" s="297" t="s">
        <v>178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138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154</v>
      </c>
      <c r="Q7" s="2" t="s">
        <v>177</v>
      </c>
      <c r="R7" s="159" t="s">
        <v>170</v>
      </c>
      <c r="S7" s="51"/>
      <c r="T7" s="1"/>
      <c r="V7" s="159" t="s">
        <v>129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194</v>
      </c>
      <c r="B8" s="264" t="s">
        <v>151</v>
      </c>
      <c r="C8" s="297" t="s">
        <v>178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138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154</v>
      </c>
      <c r="Q8" s="2" t="s">
        <v>170</v>
      </c>
      <c r="R8" s="159" t="s">
        <v>176</v>
      </c>
      <c r="S8" s="51"/>
      <c r="T8" s="1"/>
    </row>
    <row r="9" spans="1:39">
      <c r="A9" s="159" t="s">
        <v>195</v>
      </c>
      <c r="B9" s="264" t="s">
        <v>153</v>
      </c>
      <c r="C9" s="297" t="s">
        <v>178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138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154</v>
      </c>
      <c r="Q9" s="2" t="s">
        <v>170</v>
      </c>
      <c r="R9" s="159" t="s">
        <v>112</v>
      </c>
      <c r="S9" s="51"/>
      <c r="T9" s="1"/>
    </row>
    <row r="10" spans="1:39">
      <c r="A10" s="159" t="s">
        <v>196</v>
      </c>
      <c r="B10" s="264" t="s">
        <v>77</v>
      </c>
      <c r="C10" s="297" t="s">
        <v>178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154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138</v>
      </c>
      <c r="S10" s="51"/>
      <c r="T10" s="1"/>
    </row>
    <row r="11" spans="1:39">
      <c r="A11" s="159" t="s">
        <v>197</v>
      </c>
      <c r="B11" s="264" t="s">
        <v>116</v>
      </c>
      <c r="C11" s="297" t="s">
        <v>178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138</v>
      </c>
      <c r="L11" s="243" t="s">
        <v>54</v>
      </c>
      <c r="M11" s="298" t="s">
        <v>46</v>
      </c>
      <c r="N11" s="110" t="s">
        <v>154</v>
      </c>
      <c r="O11" s="2" t="s">
        <v>87</v>
      </c>
      <c r="P11" s="2" t="s">
        <v>93</v>
      </c>
      <c r="Q11" s="2" t="s">
        <v>112</v>
      </c>
      <c r="R11" s="159" t="s">
        <v>170</v>
      </c>
      <c r="S11" s="51"/>
      <c r="T11" s="1"/>
    </row>
    <row r="12" spans="1:39">
      <c r="A12" s="159" t="s">
        <v>198</v>
      </c>
      <c r="B12" s="264" t="s">
        <v>157</v>
      </c>
      <c r="C12" s="297" t="s">
        <v>178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138</v>
      </c>
      <c r="L12" s="243" t="s">
        <v>54</v>
      </c>
      <c r="M12" s="298" t="s">
        <v>46</v>
      </c>
      <c r="N12" s="110" t="s">
        <v>154</v>
      </c>
      <c r="O12" s="2" t="s">
        <v>87</v>
      </c>
      <c r="P12" s="2" t="s">
        <v>93</v>
      </c>
      <c r="Q12" s="2" t="s">
        <v>112</v>
      </c>
      <c r="R12" s="159" t="s">
        <v>170</v>
      </c>
      <c r="S12" s="51"/>
      <c r="T12" s="1"/>
    </row>
    <row r="13" spans="1:39">
      <c r="A13" s="159" t="s">
        <v>199</v>
      </c>
      <c r="B13" s="264" t="s">
        <v>160</v>
      </c>
      <c r="C13" s="297" t="s">
        <v>178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138</v>
      </c>
      <c r="L13" s="243" t="s">
        <v>54</v>
      </c>
      <c r="M13" s="298" t="s">
        <v>46</v>
      </c>
      <c r="N13" s="110" t="s">
        <v>154</v>
      </c>
      <c r="O13" s="2" t="s">
        <v>87</v>
      </c>
      <c r="P13" s="2" t="s">
        <v>93</v>
      </c>
      <c r="Q13" s="2" t="s">
        <v>176</v>
      </c>
      <c r="R13" s="159" t="s">
        <v>170</v>
      </c>
      <c r="S13" s="51"/>
      <c r="T13" s="1"/>
    </row>
    <row r="14" spans="1:39">
      <c r="A14" s="159" t="s">
        <v>200</v>
      </c>
      <c r="B14" s="264" t="s">
        <v>163</v>
      </c>
      <c r="C14" s="297" t="s">
        <v>178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138</v>
      </c>
      <c r="L14" s="243" t="s">
        <v>54</v>
      </c>
      <c r="M14" s="298" t="s">
        <v>46</v>
      </c>
      <c r="N14" s="110" t="s">
        <v>154</v>
      </c>
      <c r="O14" s="2" t="s">
        <v>87</v>
      </c>
      <c r="P14" s="2" t="s">
        <v>93</v>
      </c>
      <c r="Q14" s="2" t="s">
        <v>112</v>
      </c>
      <c r="R14" s="159" t="s">
        <v>170</v>
      </c>
      <c r="S14" s="51"/>
      <c r="T14" s="1"/>
    </row>
    <row r="15" spans="1:39">
      <c r="A15" s="159" t="s">
        <v>201</v>
      </c>
      <c r="B15" s="264" t="s">
        <v>153</v>
      </c>
      <c r="C15" s="297" t="s">
        <v>178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138</v>
      </c>
      <c r="L15" s="243" t="s">
        <v>54</v>
      </c>
      <c r="M15" s="298" t="s">
        <v>46</v>
      </c>
      <c r="N15" s="110" t="s">
        <v>154</v>
      </c>
      <c r="O15" s="2" t="s">
        <v>87</v>
      </c>
      <c r="P15" s="2" t="s">
        <v>93</v>
      </c>
      <c r="Q15" s="2" t="s">
        <v>176</v>
      </c>
      <c r="R15" s="159" t="s">
        <v>170</v>
      </c>
      <c r="S15" s="51"/>
      <c r="T15" s="1"/>
    </row>
    <row r="16" spans="1:39">
      <c r="A16" s="159" t="s">
        <v>202</v>
      </c>
      <c r="B16" s="264" t="s">
        <v>77</v>
      </c>
      <c r="C16" s="297" t="s">
        <v>178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138</v>
      </c>
      <c r="L16" s="243" t="s">
        <v>54</v>
      </c>
      <c r="M16" s="298" t="s">
        <v>112</v>
      </c>
      <c r="N16" s="110" t="s">
        <v>99</v>
      </c>
      <c r="O16" s="2" t="s">
        <v>176</v>
      </c>
      <c r="P16" s="2" t="s">
        <v>170</v>
      </c>
      <c r="Q16" s="2" t="s">
        <v>141</v>
      </c>
      <c r="R16" s="159" t="s">
        <v>46</v>
      </c>
      <c r="S16" s="51"/>
      <c r="T16" s="1"/>
    </row>
    <row r="17" spans="1:20">
      <c r="A17" s="159" t="s">
        <v>203</v>
      </c>
      <c r="B17" s="264" t="s">
        <v>140</v>
      </c>
      <c r="C17" s="297" t="s">
        <v>178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138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170</v>
      </c>
      <c r="Q17" s="2" t="s">
        <v>141</v>
      </c>
      <c r="R17" s="159" t="s">
        <v>112</v>
      </c>
      <c r="S17" s="51"/>
      <c r="T17" s="1"/>
    </row>
    <row r="18" spans="1:20">
      <c r="A18" s="159" t="s">
        <v>204</v>
      </c>
      <c r="B18" s="264" t="s">
        <v>149</v>
      </c>
      <c r="C18" s="297" t="s">
        <v>178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138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170</v>
      </c>
      <c r="Q18" s="2" t="s">
        <v>141</v>
      </c>
      <c r="R18" s="159" t="s">
        <v>112</v>
      </c>
      <c r="S18" s="51"/>
      <c r="T18" s="1"/>
    </row>
    <row r="19" spans="1:20">
      <c r="A19" s="159" t="s">
        <v>205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141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154</v>
      </c>
      <c r="Q19" s="2" t="s">
        <v>80</v>
      </c>
      <c r="R19" s="159" t="s">
        <v>112</v>
      </c>
      <c r="S19" s="51"/>
      <c r="T19" s="1"/>
    </row>
    <row r="20" spans="1:20">
      <c r="A20" s="159" t="s">
        <v>206</v>
      </c>
      <c r="B20" s="264" t="s">
        <v>163</v>
      </c>
      <c r="C20" s="297" t="s">
        <v>178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175</v>
      </c>
      <c r="I20" s="243" t="s">
        <v>74</v>
      </c>
      <c r="J20" s="243" t="s">
        <v>71</v>
      </c>
      <c r="K20" s="243" t="s">
        <v>138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170</v>
      </c>
      <c r="Q20" s="2" t="s">
        <v>141</v>
      </c>
      <c r="R20" s="159" t="s">
        <v>112</v>
      </c>
      <c r="S20" s="51"/>
      <c r="T20" s="1"/>
    </row>
    <row r="21" spans="1:20">
      <c r="A21" s="159" t="s">
        <v>207</v>
      </c>
      <c r="B21" s="264" t="s">
        <v>157</v>
      </c>
      <c r="C21" s="297" t="s">
        <v>178</v>
      </c>
      <c r="D21" s="243" t="s">
        <v>177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138</v>
      </c>
      <c r="L21" s="243" t="s">
        <v>54</v>
      </c>
      <c r="M21" s="298" t="s">
        <v>170</v>
      </c>
      <c r="N21" s="110" t="s">
        <v>175</v>
      </c>
      <c r="O21" s="2" t="s">
        <v>154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208</v>
      </c>
      <c r="B22" s="264" t="s">
        <v>137</v>
      </c>
      <c r="C22" s="297" t="s">
        <v>178</v>
      </c>
      <c r="D22" s="243" t="s">
        <v>175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138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154</v>
      </c>
      <c r="Q22" s="2" t="s">
        <v>170</v>
      </c>
      <c r="R22" s="159" t="s">
        <v>112</v>
      </c>
      <c r="S22" s="51"/>
      <c r="T22" s="1"/>
    </row>
    <row r="23" spans="1:20">
      <c r="A23" s="159" t="s">
        <v>209</v>
      </c>
      <c r="B23" s="264" t="s">
        <v>160</v>
      </c>
      <c r="C23" s="297" t="s">
        <v>178</v>
      </c>
      <c r="D23" s="243" t="s">
        <v>175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154</v>
      </c>
      <c r="L23" s="243" t="s">
        <v>54</v>
      </c>
      <c r="M23" s="298" t="s">
        <v>170</v>
      </c>
      <c r="N23" s="110" t="s">
        <v>46</v>
      </c>
      <c r="O23" s="2" t="s">
        <v>138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210</v>
      </c>
      <c r="B24" s="264" t="s">
        <v>145</v>
      </c>
      <c r="C24" s="297" t="s">
        <v>105</v>
      </c>
      <c r="D24" s="243" t="s">
        <v>176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138</v>
      </c>
      <c r="L24" s="243" t="s">
        <v>54</v>
      </c>
      <c r="M24" s="298" t="s">
        <v>170</v>
      </c>
      <c r="N24" s="110" t="s">
        <v>154</v>
      </c>
      <c r="O24" s="2" t="s">
        <v>87</v>
      </c>
      <c r="P24" s="2" t="s">
        <v>141</v>
      </c>
      <c r="Q24" s="2" t="s">
        <v>90</v>
      </c>
      <c r="R24" s="159" t="s">
        <v>175</v>
      </c>
      <c r="S24" s="51" t="s">
        <v>112</v>
      </c>
      <c r="T24" s="1"/>
    </row>
    <row r="25" spans="1:20">
      <c r="A25" s="159" t="s">
        <v>211</v>
      </c>
      <c r="B25" s="264" t="s">
        <v>147</v>
      </c>
      <c r="C25" s="297" t="s">
        <v>105</v>
      </c>
      <c r="D25" s="243" t="s">
        <v>176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138</v>
      </c>
      <c r="L25" s="243" t="s">
        <v>54</v>
      </c>
      <c r="M25" s="298" t="s">
        <v>112</v>
      </c>
      <c r="N25" s="110" t="s">
        <v>141</v>
      </c>
      <c r="O25" s="2" t="s">
        <v>46</v>
      </c>
      <c r="P25" s="2" t="s">
        <v>170</v>
      </c>
      <c r="Q25" s="2" t="s">
        <v>175</v>
      </c>
      <c r="R25" s="159" t="s">
        <v>154</v>
      </c>
      <c r="S25" s="51"/>
      <c r="T25" s="1"/>
    </row>
    <row r="26" spans="1:20">
      <c r="A26" s="159" t="s">
        <v>212</v>
      </c>
      <c r="B26" s="264" t="s">
        <v>143</v>
      </c>
      <c r="C26" s="297" t="s">
        <v>105</v>
      </c>
      <c r="D26" s="243" t="s">
        <v>176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154</v>
      </c>
      <c r="L26" s="243" t="s">
        <v>54</v>
      </c>
      <c r="M26" s="298" t="s">
        <v>46</v>
      </c>
      <c r="N26" s="110" t="s">
        <v>141</v>
      </c>
      <c r="O26" s="2" t="s">
        <v>90</v>
      </c>
      <c r="P26" s="2" t="s">
        <v>170</v>
      </c>
      <c r="Q26" s="2" t="s">
        <v>175</v>
      </c>
      <c r="R26" s="159" t="s">
        <v>99</v>
      </c>
      <c r="S26" s="51"/>
      <c r="T26" s="1"/>
    </row>
    <row r="27" spans="1:20">
      <c r="A27" s="159" t="s">
        <v>213</v>
      </c>
      <c r="B27" s="264" t="s">
        <v>151</v>
      </c>
      <c r="C27" s="297" t="s">
        <v>178</v>
      </c>
      <c r="D27" s="243" t="s">
        <v>175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154</v>
      </c>
      <c r="Q27" s="2" t="s">
        <v>176</v>
      </c>
      <c r="R27" s="159" t="s">
        <v>170</v>
      </c>
      <c r="S27" s="51"/>
      <c r="T27" s="1"/>
    </row>
    <row r="28" spans="1:20">
      <c r="A28" s="159" t="s">
        <v>214</v>
      </c>
      <c r="B28" s="264" t="s">
        <v>157</v>
      </c>
      <c r="C28" s="297" t="s">
        <v>178</v>
      </c>
      <c r="D28" s="243" t="s">
        <v>175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138</v>
      </c>
      <c r="Q28" s="2" t="s">
        <v>170</v>
      </c>
      <c r="R28" s="159" t="s">
        <v>46</v>
      </c>
      <c r="S28" s="51"/>
      <c r="T28" s="1"/>
    </row>
    <row r="29" spans="1:20">
      <c r="A29" s="159" t="s">
        <v>215</v>
      </c>
      <c r="B29" s="264" t="s">
        <v>77</v>
      </c>
      <c r="C29" s="297" t="s">
        <v>178</v>
      </c>
      <c r="D29" s="243" t="s">
        <v>175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138</v>
      </c>
      <c r="L29" s="243" t="s">
        <v>170</v>
      </c>
      <c r="M29" s="298" t="s">
        <v>112</v>
      </c>
      <c r="N29" s="110" t="s">
        <v>141</v>
      </c>
      <c r="O29" s="2" t="s">
        <v>169</v>
      </c>
      <c r="P29" s="2" t="s">
        <v>154</v>
      </c>
      <c r="Q29" s="159" t="s">
        <v>176</v>
      </c>
      <c r="R29" s="159" t="s">
        <v>87</v>
      </c>
      <c r="S29" s="51"/>
      <c r="T29" s="1"/>
    </row>
    <row r="30" spans="1:20">
      <c r="A30" s="159" t="s">
        <v>216</v>
      </c>
      <c r="B30" s="264" t="s">
        <v>153</v>
      </c>
      <c r="C30" s="297" t="s">
        <v>178</v>
      </c>
      <c r="D30" s="243" t="s">
        <v>175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138</v>
      </c>
      <c r="L30" s="243" t="s">
        <v>170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169</v>
      </c>
      <c r="R30" s="159" t="s">
        <v>87</v>
      </c>
      <c r="S30" s="51"/>
      <c r="T30" s="1"/>
    </row>
    <row r="31" spans="1:20">
      <c r="A31" s="159" t="s">
        <v>217</v>
      </c>
      <c r="B31" s="264" t="s">
        <v>116</v>
      </c>
      <c r="C31" s="297" t="s">
        <v>178</v>
      </c>
      <c r="D31" s="243" t="s">
        <v>176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175</v>
      </c>
      <c r="J31" s="243" t="s">
        <v>71</v>
      </c>
      <c r="K31" s="243" t="s">
        <v>138</v>
      </c>
      <c r="L31" s="243" t="s">
        <v>54</v>
      </c>
      <c r="M31" s="298" t="s">
        <v>46</v>
      </c>
      <c r="N31" s="110" t="s">
        <v>170</v>
      </c>
      <c r="O31" s="2" t="s">
        <v>112</v>
      </c>
      <c r="P31" s="2" t="s">
        <v>87</v>
      </c>
      <c r="Q31" s="159" t="s">
        <v>141</v>
      </c>
      <c r="R31" s="159" t="s">
        <v>177</v>
      </c>
      <c r="S31" s="51"/>
      <c r="T31" s="1"/>
    </row>
    <row r="32" spans="1:20">
      <c r="A32" s="159" t="s">
        <v>218</v>
      </c>
      <c r="B32" s="264" t="s">
        <v>145</v>
      </c>
      <c r="C32" s="297" t="s">
        <v>178</v>
      </c>
      <c r="D32" s="243" t="s">
        <v>175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141</v>
      </c>
      <c r="K32" s="243" t="s">
        <v>138</v>
      </c>
      <c r="L32" s="243" t="s">
        <v>54</v>
      </c>
      <c r="M32" s="298" t="s">
        <v>46</v>
      </c>
      <c r="N32" s="110" t="s">
        <v>219</v>
      </c>
      <c r="O32" s="2" t="s">
        <v>87</v>
      </c>
      <c r="P32" s="2" t="s">
        <v>154</v>
      </c>
      <c r="Q32" s="159" t="s">
        <v>112</v>
      </c>
      <c r="R32" s="159"/>
      <c r="S32" s="51"/>
      <c r="T32" s="1"/>
    </row>
    <row r="33" spans="1:20">
      <c r="A33" s="159" t="s">
        <v>220</v>
      </c>
      <c r="B33" s="264" t="s">
        <v>149</v>
      </c>
      <c r="C33" s="297" t="s">
        <v>178</v>
      </c>
      <c r="D33" s="243" t="s">
        <v>175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138</v>
      </c>
      <c r="L33" s="243" t="s">
        <v>54</v>
      </c>
      <c r="M33" s="298" t="s">
        <v>112</v>
      </c>
      <c r="N33" s="110" t="s">
        <v>176</v>
      </c>
      <c r="O33" s="2" t="s">
        <v>87</v>
      </c>
      <c r="P33" s="2" t="s">
        <v>154</v>
      </c>
      <c r="Q33" s="159" t="s">
        <v>141</v>
      </c>
      <c r="R33" s="159" t="s">
        <v>170</v>
      </c>
      <c r="S33" s="51"/>
      <c r="T33" s="1"/>
    </row>
    <row r="34" spans="1:20">
      <c r="A34" s="159" t="s">
        <v>221</v>
      </c>
      <c r="B34" s="264" t="s">
        <v>140</v>
      </c>
      <c r="C34" s="297" t="s">
        <v>178</v>
      </c>
      <c r="D34" s="243" t="s">
        <v>175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138</v>
      </c>
      <c r="L34" s="243" t="s">
        <v>54</v>
      </c>
      <c r="M34" s="298" t="s">
        <v>170</v>
      </c>
      <c r="N34" s="110" t="s">
        <v>46</v>
      </c>
      <c r="O34" s="2" t="s">
        <v>176</v>
      </c>
      <c r="P34" s="2" t="s">
        <v>99</v>
      </c>
      <c r="Q34" s="159" t="s">
        <v>219</v>
      </c>
      <c r="R34" s="159" t="s">
        <v>141</v>
      </c>
      <c r="S34" s="51"/>
      <c r="T34" s="1"/>
    </row>
    <row r="35" spans="1:20">
      <c r="A35" s="159" t="s">
        <v>222</v>
      </c>
      <c r="B35" s="264" t="s">
        <v>143</v>
      </c>
      <c r="C35" s="297" t="s">
        <v>178</v>
      </c>
      <c r="D35" s="243" t="s">
        <v>175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154</v>
      </c>
      <c r="L35" s="243" t="s">
        <v>54</v>
      </c>
      <c r="M35" s="298" t="s">
        <v>112</v>
      </c>
      <c r="N35" s="110" t="s">
        <v>46</v>
      </c>
      <c r="O35" s="2" t="s">
        <v>170</v>
      </c>
      <c r="P35" s="2" t="s">
        <v>138</v>
      </c>
      <c r="Q35" s="159" t="s">
        <v>219</v>
      </c>
      <c r="R35" s="159" t="s">
        <v>169</v>
      </c>
      <c r="S35" s="51"/>
      <c r="T35" s="1"/>
    </row>
    <row r="36" spans="1:20">
      <c r="A36" s="159" t="s">
        <v>223</v>
      </c>
      <c r="B36" s="264" t="s">
        <v>160</v>
      </c>
      <c r="C36" s="297" t="s">
        <v>105</v>
      </c>
      <c r="D36" s="243" t="s">
        <v>175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170</v>
      </c>
      <c r="N36" s="110" t="s">
        <v>46</v>
      </c>
      <c r="O36" s="2" t="s">
        <v>138</v>
      </c>
      <c r="P36" s="2" t="s">
        <v>99</v>
      </c>
      <c r="Q36" s="159"/>
      <c r="R36" s="159"/>
      <c r="S36" s="51"/>
      <c r="T36" s="1"/>
    </row>
    <row r="37" spans="1:20">
      <c r="A37" s="159" t="s">
        <v>224</v>
      </c>
      <c r="B37" s="264" t="s">
        <v>137</v>
      </c>
      <c r="C37" s="297" t="s">
        <v>105</v>
      </c>
      <c r="D37" s="243" t="s">
        <v>175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138</v>
      </c>
      <c r="L37" s="243" t="s">
        <v>54</v>
      </c>
      <c r="M37" s="298" t="s">
        <v>46</v>
      </c>
      <c r="N37" s="110" t="s">
        <v>87</v>
      </c>
      <c r="O37" s="2" t="s">
        <v>170</v>
      </c>
      <c r="P37" s="2" t="s">
        <v>176</v>
      </c>
      <c r="Q37" s="2" t="s">
        <v>141</v>
      </c>
      <c r="R37" s="159" t="s">
        <v>112</v>
      </c>
      <c r="S37" s="51"/>
      <c r="T37" s="1"/>
    </row>
    <row r="38" spans="1:20">
      <c r="A38" s="159" t="s">
        <v>225</v>
      </c>
      <c r="B38" s="264" t="s">
        <v>147</v>
      </c>
      <c r="C38" s="297" t="s">
        <v>179</v>
      </c>
      <c r="D38" s="243" t="s">
        <v>175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170</v>
      </c>
      <c r="N38" s="110" t="s">
        <v>176</v>
      </c>
      <c r="O38" s="2" t="s">
        <v>46</v>
      </c>
      <c r="P38" s="2" t="s">
        <v>71</v>
      </c>
      <c r="Q38" s="2" t="s">
        <v>138</v>
      </c>
      <c r="R38" s="159" t="s">
        <v>112</v>
      </c>
      <c r="S38" s="51"/>
      <c r="T38" s="1"/>
    </row>
    <row r="39" spans="1:20">
      <c r="A39" s="159" t="s">
        <v>226</v>
      </c>
      <c r="B39" s="390" t="s">
        <v>163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227</v>
      </c>
      <c r="B40" s="390" t="s">
        <v>151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228</v>
      </c>
    </row>
    <row r="2" spans="2:8">
      <c r="B2" s="89" t="s">
        <v>229</v>
      </c>
      <c r="C2" s="89" t="s">
        <v>230</v>
      </c>
      <c r="D2" s="89" t="s">
        <v>231</v>
      </c>
      <c r="E2" s="89" t="s">
        <v>232</v>
      </c>
      <c r="F2" s="89" t="s">
        <v>233</v>
      </c>
      <c r="G2" s="89" t="s">
        <v>234</v>
      </c>
      <c r="H2" s="1"/>
    </row>
    <row r="3" spans="2:8">
      <c r="B3" s="4" t="s">
        <v>178</v>
      </c>
      <c r="C3" s="4" t="s">
        <v>175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138</v>
      </c>
      <c r="G4" s="4" t="s">
        <v>54</v>
      </c>
      <c r="H4" s="5" t="s">
        <v>27</v>
      </c>
    </row>
    <row r="5" spans="2:8">
      <c r="B5" s="2" t="s">
        <v>179</v>
      </c>
      <c r="C5" s="5" t="s">
        <v>177</v>
      </c>
      <c r="D5" s="5" t="s">
        <v>87</v>
      </c>
      <c r="E5" s="5" t="s">
        <v>170</v>
      </c>
      <c r="F5" s="5" t="s">
        <v>154</v>
      </c>
      <c r="G5" s="5" t="s">
        <v>112</v>
      </c>
      <c r="H5" s="1"/>
    </row>
    <row r="6" spans="2:8">
      <c r="B6" s="2" t="s">
        <v>180</v>
      </c>
      <c r="C6" s="2" t="s">
        <v>235</v>
      </c>
      <c r="D6" s="2" t="s">
        <v>236</v>
      </c>
      <c r="E6" s="5" t="s">
        <v>80</v>
      </c>
      <c r="F6" s="2" t="s">
        <v>164</v>
      </c>
      <c r="G6" s="2" t="s">
        <v>158</v>
      </c>
      <c r="H6" s="1"/>
    </row>
    <row r="7" spans="2:8">
      <c r="B7" s="2" t="s">
        <v>237</v>
      </c>
      <c r="C7" s="2" t="s">
        <v>238</v>
      </c>
      <c r="D7" s="2"/>
      <c r="E7" s="1" t="s">
        <v>169</v>
      </c>
      <c r="F7" s="2" t="s">
        <v>111</v>
      </c>
      <c r="G7" s="2" t="s">
        <v>161</v>
      </c>
      <c r="H7" s="1"/>
    </row>
    <row r="8" spans="2:8">
      <c r="B8" s="2"/>
      <c r="C8" s="2"/>
      <c r="D8" s="2"/>
      <c r="E8" s="2" t="s">
        <v>173</v>
      </c>
      <c r="F8" s="2"/>
      <c r="G8" s="2" t="s">
        <v>92</v>
      </c>
      <c r="H8" s="1"/>
    </row>
    <row r="9" spans="2:8">
      <c r="B9" s="2"/>
      <c r="C9" s="2"/>
      <c r="D9" s="2"/>
      <c r="E9" s="2" t="s">
        <v>174</v>
      </c>
      <c r="F9" s="2"/>
      <c r="G9" s="2" t="s">
        <v>239</v>
      </c>
      <c r="H9" s="1"/>
    </row>
    <row r="10" spans="2:8">
      <c r="B10" s="2"/>
      <c r="C10" s="2"/>
      <c r="D10" s="2"/>
      <c r="E10" s="2" t="s">
        <v>171</v>
      </c>
      <c r="F10" s="2"/>
      <c r="G10" s="2"/>
      <c r="H10" s="1"/>
    </row>
    <row r="11" spans="2:8">
      <c r="B11" s="2"/>
      <c r="C11" s="2"/>
      <c r="D11" s="2"/>
      <c r="E11" s="2" t="s">
        <v>240</v>
      </c>
      <c r="F11" s="2"/>
      <c r="G11" s="2"/>
      <c r="H11" s="1"/>
    </row>
    <row r="12" spans="2:8">
      <c r="B12" s="265" t="s">
        <v>241</v>
      </c>
    </row>
    <row r="13" spans="2:8">
      <c r="B13" s="2" t="s">
        <v>106</v>
      </c>
      <c r="C13" s="2" t="s">
        <v>219</v>
      </c>
      <c r="D13" s="2" t="s">
        <v>104</v>
      </c>
      <c r="E13" s="2" t="s">
        <v>110</v>
      </c>
      <c r="F13" s="2" t="s">
        <v>188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140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163</v>
      </c>
      <c r="D17" s="252"/>
    </row>
    <row r="18" spans="2:4">
      <c r="B18" s="250">
        <v>29</v>
      </c>
      <c r="C18" s="255" t="s">
        <v>147</v>
      </c>
      <c r="D18" s="252"/>
    </row>
    <row r="19" spans="2:4">
      <c r="B19" s="250">
        <v>28</v>
      </c>
      <c r="C19" s="256" t="s">
        <v>145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157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143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137</v>
      </c>
      <c r="D30" s="252"/>
    </row>
    <row r="31" spans="2:4">
      <c r="B31" s="250">
        <v>16</v>
      </c>
      <c r="C31" s="261" t="s">
        <v>160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151</v>
      </c>
      <c r="D34" s="262" t="s">
        <v>149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153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242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243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136</v>
      </c>
      <c r="AX2" s="4" t="s">
        <v>244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136</v>
      </c>
    </row>
    <row r="3" spans="1:57">
      <c r="A3" s="145" t="s">
        <v>42</v>
      </c>
      <c r="B3" s="118">
        <v>45353</v>
      </c>
      <c r="C3" s="99">
        <v>1</v>
      </c>
      <c r="D3" s="99" t="s">
        <v>245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246</v>
      </c>
      <c r="J3" s="99" t="s">
        <v>247</v>
      </c>
      <c r="K3" s="99" t="s">
        <v>248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249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250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251</v>
      </c>
      <c r="J4" s="30" t="s">
        <v>252</v>
      </c>
      <c r="K4" s="30" t="s">
        <v>253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251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254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246</v>
      </c>
      <c r="J5" s="30" t="s">
        <v>254</v>
      </c>
      <c r="K5" s="30" t="s">
        <v>248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255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256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246</v>
      </c>
      <c r="J6" s="30" t="s">
        <v>247</v>
      </c>
      <c r="K6" s="30" t="s">
        <v>248</v>
      </c>
      <c r="L6" s="53" t="s">
        <v>71</v>
      </c>
      <c r="M6" s="15" t="s">
        <v>165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141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257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252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258</v>
      </c>
      <c r="J7" s="30" t="s">
        <v>250</v>
      </c>
      <c r="K7" s="30" t="s">
        <v>259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260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136</v>
      </c>
      <c r="AX7" s="20" t="s">
        <v>247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72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251</v>
      </c>
      <c r="J8" s="30" t="s">
        <v>261</v>
      </c>
      <c r="K8" s="30" t="s">
        <v>262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263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249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261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264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251</v>
      </c>
      <c r="J9" s="30" t="s">
        <v>252</v>
      </c>
      <c r="K9" s="30" t="s">
        <v>253</v>
      </c>
      <c r="L9" s="53" t="s">
        <v>188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154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251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265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251</v>
      </c>
      <c r="J10" s="30" t="s">
        <v>256</v>
      </c>
      <c r="K10" s="30" t="s">
        <v>262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255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251</v>
      </c>
      <c r="J11" s="30" t="s">
        <v>261</v>
      </c>
      <c r="K11" s="30" t="s">
        <v>262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266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257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246</v>
      </c>
      <c r="J12" s="30" t="s">
        <v>254</v>
      </c>
      <c r="K12" s="30" t="s">
        <v>248</v>
      </c>
      <c r="L12" s="53" t="s">
        <v>176</v>
      </c>
      <c r="M12" s="15" t="s">
        <v>169</v>
      </c>
      <c r="N12" s="15" t="s">
        <v>46</v>
      </c>
      <c r="O12" s="15"/>
      <c r="P12" s="54"/>
      <c r="Q12" s="171" t="s">
        <v>267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181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136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136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246</v>
      </c>
      <c r="J13" s="30" t="s">
        <v>254</v>
      </c>
      <c r="K13" s="30" t="s">
        <v>248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268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249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259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251</v>
      </c>
      <c r="J14" s="24" t="s">
        <v>256</v>
      </c>
      <c r="K14" s="24" t="s">
        <v>269</v>
      </c>
      <c r="L14" s="57" t="s">
        <v>46</v>
      </c>
      <c r="M14" s="58"/>
      <c r="N14" s="58"/>
      <c r="O14" s="58"/>
      <c r="P14" s="59"/>
      <c r="Q14" s="143" t="s">
        <v>267</v>
      </c>
      <c r="R14" s="58"/>
      <c r="S14" s="58"/>
      <c r="T14" s="58"/>
      <c r="U14" s="61"/>
      <c r="V14" s="193">
        <v>14435</v>
      </c>
      <c r="X14" s="207" t="s">
        <v>270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251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262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251</v>
      </c>
      <c r="J15" s="24" t="s">
        <v>256</v>
      </c>
      <c r="K15" s="24" t="s">
        <v>253</v>
      </c>
      <c r="L15" s="57" t="s">
        <v>93</v>
      </c>
      <c r="M15" s="58"/>
      <c r="N15" s="58"/>
      <c r="O15" s="58"/>
      <c r="P15" s="59"/>
      <c r="Q15" s="143" t="s">
        <v>267</v>
      </c>
      <c r="R15" s="58"/>
      <c r="S15" s="58"/>
      <c r="T15" s="58"/>
      <c r="U15" s="61"/>
      <c r="V15" s="194"/>
      <c r="X15" s="149" t="s">
        <v>271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255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269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258</v>
      </c>
      <c r="J16" s="24" t="s">
        <v>250</v>
      </c>
      <c r="K16" s="24" t="s">
        <v>259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257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253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246</v>
      </c>
      <c r="J17" s="24" t="s">
        <v>254</v>
      </c>
      <c r="K17" s="24" t="s">
        <v>248</v>
      </c>
      <c r="L17" s="57" t="s">
        <v>271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248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245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251</v>
      </c>
      <c r="J18" s="24" t="s">
        <v>261</v>
      </c>
      <c r="K18" s="24" t="s">
        <v>262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169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272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246</v>
      </c>
      <c r="J19" s="24" t="s">
        <v>247</v>
      </c>
      <c r="K19" s="24" t="s">
        <v>248</v>
      </c>
      <c r="L19" s="57" t="s">
        <v>169</v>
      </c>
      <c r="M19" s="58" t="s">
        <v>87</v>
      </c>
      <c r="N19" s="58"/>
      <c r="O19" s="58"/>
      <c r="P19" s="59"/>
      <c r="Q19" s="143" t="s">
        <v>46</v>
      </c>
      <c r="R19" s="58" t="s">
        <v>170</v>
      </c>
      <c r="S19" s="58"/>
      <c r="T19" s="58"/>
      <c r="U19" s="61"/>
      <c r="V19" s="193"/>
      <c r="X19" s="149" t="s">
        <v>170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246</v>
      </c>
      <c r="J20" s="24" t="s">
        <v>254</v>
      </c>
      <c r="K20" s="24" t="s">
        <v>248</v>
      </c>
      <c r="L20" s="57" t="s">
        <v>141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171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72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273</v>
      </c>
      <c r="J21" s="24" t="s">
        <v>261</v>
      </c>
      <c r="K21" s="24" t="s">
        <v>262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173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274</v>
      </c>
      <c r="J22" s="24" t="s">
        <v>252</v>
      </c>
      <c r="K22" s="24" t="s">
        <v>253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275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258</v>
      </c>
      <c r="J23" s="24" t="s">
        <v>250</v>
      </c>
      <c r="K23" s="24" t="s">
        <v>259</v>
      </c>
      <c r="L23" s="57" t="s">
        <v>46</v>
      </c>
      <c r="M23" s="58"/>
      <c r="N23" s="58"/>
      <c r="O23" s="58"/>
      <c r="P23" s="59"/>
      <c r="Q23" s="143" t="s">
        <v>170</v>
      </c>
      <c r="R23" s="58"/>
      <c r="S23" s="58"/>
      <c r="T23" s="58"/>
      <c r="U23" s="61"/>
      <c r="V23" s="193">
        <v>7012</v>
      </c>
      <c r="X23" s="149" t="s">
        <v>174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264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251</v>
      </c>
      <c r="J24" s="24" t="s">
        <v>261</v>
      </c>
      <c r="K24" s="24" t="s">
        <v>262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182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251</v>
      </c>
      <c r="J25" s="30" t="s">
        <v>265</v>
      </c>
      <c r="K25" s="30" t="s">
        <v>253</v>
      </c>
      <c r="L25" s="53" t="s">
        <v>276</v>
      </c>
      <c r="M25" s="15" t="s">
        <v>165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276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245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274</v>
      </c>
      <c r="J26" s="30" t="s">
        <v>252</v>
      </c>
      <c r="K26" s="30" t="s">
        <v>262</v>
      </c>
      <c r="L26" s="53" t="s">
        <v>46</v>
      </c>
      <c r="M26" s="15"/>
      <c r="N26" s="15"/>
      <c r="O26" s="15"/>
      <c r="P26" s="54"/>
      <c r="Q26" s="171" t="s">
        <v>170</v>
      </c>
      <c r="R26" s="15"/>
      <c r="S26" s="15"/>
      <c r="T26" s="15"/>
      <c r="U26" s="56"/>
      <c r="V26" s="192">
        <v>10303</v>
      </c>
      <c r="X26" s="150" t="s">
        <v>176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251</v>
      </c>
      <c r="J27" s="30" t="s">
        <v>261</v>
      </c>
      <c r="K27" s="30" t="s">
        <v>262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277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72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251</v>
      </c>
      <c r="J28" s="30" t="s">
        <v>250</v>
      </c>
      <c r="K28" s="30" t="s">
        <v>259</v>
      </c>
      <c r="L28" s="53" t="s">
        <v>46</v>
      </c>
      <c r="M28" s="15"/>
      <c r="N28" s="15"/>
      <c r="O28" s="15"/>
      <c r="P28" s="54"/>
      <c r="Q28" s="171" t="s">
        <v>267</v>
      </c>
      <c r="R28" s="15"/>
      <c r="S28" s="15"/>
      <c r="T28" s="15"/>
      <c r="U28" s="56"/>
      <c r="V28" s="192"/>
      <c r="X28" s="150" t="s">
        <v>188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264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251</v>
      </c>
      <c r="J29" s="30" t="s">
        <v>261</v>
      </c>
      <c r="K29" s="30" t="s">
        <v>262</v>
      </c>
      <c r="L29" s="53" t="s">
        <v>46</v>
      </c>
      <c r="M29" s="15"/>
      <c r="N29" s="15"/>
      <c r="O29" s="15"/>
      <c r="P29" s="54"/>
      <c r="Q29" s="171" t="s">
        <v>278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274</v>
      </c>
      <c r="J30" s="30" t="s">
        <v>261</v>
      </c>
      <c r="K30" s="30" t="s">
        <v>253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279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264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246</v>
      </c>
      <c r="J31" s="30" t="s">
        <v>247</v>
      </c>
      <c r="K31" s="30" t="s">
        <v>248</v>
      </c>
      <c r="L31" s="53" t="s">
        <v>46</v>
      </c>
      <c r="M31" s="15" t="s">
        <v>169</v>
      </c>
      <c r="N31" s="15"/>
      <c r="O31" s="15"/>
      <c r="P31" s="54"/>
      <c r="Q31" s="171" t="s">
        <v>141</v>
      </c>
      <c r="R31" s="15" t="s">
        <v>141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72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251</v>
      </c>
      <c r="J32" s="30" t="s">
        <v>261</v>
      </c>
      <c r="K32" s="30" t="s">
        <v>262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267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245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251</v>
      </c>
      <c r="J33" s="30" t="s">
        <v>256</v>
      </c>
      <c r="K33" s="30" t="s">
        <v>269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280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251</v>
      </c>
      <c r="J34" s="30" t="s">
        <v>256</v>
      </c>
      <c r="K34" s="30" t="s">
        <v>262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278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274</v>
      </c>
      <c r="J35" s="30" t="s">
        <v>252</v>
      </c>
      <c r="K35" s="30" t="s">
        <v>253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72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258</v>
      </c>
      <c r="J36" s="24" t="s">
        <v>250</v>
      </c>
      <c r="K36" s="24" t="s">
        <v>272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251</v>
      </c>
      <c r="J37" s="24" t="s">
        <v>256</v>
      </c>
      <c r="K37" s="24" t="s">
        <v>262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246</v>
      </c>
      <c r="J38" s="24" t="s">
        <v>254</v>
      </c>
      <c r="K38" s="24" t="s">
        <v>248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177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264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263</v>
      </c>
      <c r="O40" s="227"/>
      <c r="P40" s="228"/>
      <c r="Q40" s="240" t="s">
        <v>54</v>
      </c>
      <c r="R40" s="227" t="s">
        <v>141</v>
      </c>
      <c r="S40" s="227" t="s">
        <v>93</v>
      </c>
      <c r="T40" s="227"/>
      <c r="U40" s="241"/>
      <c r="V40" s="242"/>
      <c r="X40" s="151" t="s">
        <v>178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281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282</v>
      </c>
      <c r="J41" s="103"/>
      <c r="K41" s="103"/>
      <c r="L41" s="174" t="s">
        <v>270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179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126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282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283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127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282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284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128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128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129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189</v>
      </c>
      <c r="N47" s="213"/>
      <c r="P47" t="s">
        <v>285</v>
      </c>
    </row>
    <row r="48" spans="1:45">
      <c r="L48" s="6" t="s">
        <v>2</v>
      </c>
      <c r="M48" s="6" t="s">
        <v>121</v>
      </c>
      <c r="N48" s="6" t="s">
        <v>122</v>
      </c>
      <c r="O48" s="6" t="s">
        <v>286</v>
      </c>
      <c r="P48" s="58" t="s">
        <v>121</v>
      </c>
      <c r="Q48" s="58" t="s">
        <v>122</v>
      </c>
      <c r="R48" s="58" t="s">
        <v>286</v>
      </c>
      <c r="S48" s="6" t="s">
        <v>287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190</v>
      </c>
      <c r="B2" s="153" t="s">
        <v>179</v>
      </c>
      <c r="C2" s="5" t="s">
        <v>277</v>
      </c>
      <c r="D2" s="5" t="s">
        <v>279</v>
      </c>
      <c r="E2" s="5" t="s">
        <v>188</v>
      </c>
      <c r="F2" s="5" t="s">
        <v>267</v>
      </c>
      <c r="G2" s="5" t="s">
        <v>109</v>
      </c>
      <c r="H2" s="5" t="s">
        <v>74</v>
      </c>
      <c r="I2" s="5" t="s">
        <v>271</v>
      </c>
      <c r="J2" s="5" t="s">
        <v>54</v>
      </c>
      <c r="K2" s="5" t="s">
        <v>46</v>
      </c>
      <c r="L2" s="155" t="s">
        <v>71</v>
      </c>
      <c r="M2" s="110" t="s">
        <v>270</v>
      </c>
      <c r="N2" s="2" t="s">
        <v>278</v>
      </c>
      <c r="O2" s="2" t="s">
        <v>87</v>
      </c>
      <c r="P2" s="2" t="s">
        <v>93</v>
      </c>
      <c r="Q2" s="51" t="s">
        <v>263</v>
      </c>
      <c r="S2" s="159" t="s">
        <v>115</v>
      </c>
      <c r="T2" s="153" t="s">
        <v>178</v>
      </c>
      <c r="U2" s="5" t="s">
        <v>176</v>
      </c>
      <c r="V2" s="5" t="s">
        <v>279</v>
      </c>
      <c r="W2" s="5" t="s">
        <v>104</v>
      </c>
      <c r="X2" s="5" t="s">
        <v>280</v>
      </c>
      <c r="Y2" s="5" t="s">
        <v>110</v>
      </c>
      <c r="Z2" s="5" t="s">
        <v>169</v>
      </c>
      <c r="AA2" s="5" t="s">
        <v>93</v>
      </c>
      <c r="AB2" s="5" t="s">
        <v>263</v>
      </c>
      <c r="AC2" s="5" t="s">
        <v>270</v>
      </c>
      <c r="AD2" s="155" t="s">
        <v>260</v>
      </c>
      <c r="AE2" s="110" t="s">
        <v>71</v>
      </c>
      <c r="AF2" s="2" t="s">
        <v>54</v>
      </c>
      <c r="AG2" s="2" t="s">
        <v>181</v>
      </c>
      <c r="AH2" s="2" t="s">
        <v>271</v>
      </c>
      <c r="AI2" s="51" t="s">
        <v>97</v>
      </c>
    </row>
    <row r="3" spans="1:35">
      <c r="A3" s="159" t="s">
        <v>183</v>
      </c>
      <c r="B3" s="153" t="s">
        <v>179</v>
      </c>
      <c r="C3" s="5" t="s">
        <v>277</v>
      </c>
      <c r="D3" s="5" t="s">
        <v>276</v>
      </c>
      <c r="E3" s="5" t="s">
        <v>104</v>
      </c>
      <c r="F3" s="5" t="s">
        <v>278</v>
      </c>
      <c r="G3" s="5" t="s">
        <v>109</v>
      </c>
      <c r="H3" s="5" t="s">
        <v>74</v>
      </c>
      <c r="I3" s="5" t="s">
        <v>271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270</v>
      </c>
      <c r="O3" s="2"/>
      <c r="P3" s="2"/>
      <c r="Q3" s="51"/>
      <c r="S3" s="159" t="s">
        <v>126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179</v>
      </c>
      <c r="C4" s="5" t="s">
        <v>277</v>
      </c>
      <c r="D4" s="5" t="s">
        <v>276</v>
      </c>
      <c r="E4" s="5" t="s">
        <v>104</v>
      </c>
      <c r="F4" s="5" t="s">
        <v>278</v>
      </c>
      <c r="G4" s="5" t="s">
        <v>109</v>
      </c>
      <c r="H4" s="5" t="s">
        <v>74</v>
      </c>
      <c r="I4" s="5" t="s">
        <v>171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127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191</v>
      </c>
      <c r="B5" s="153" t="s">
        <v>179</v>
      </c>
      <c r="C5" s="5" t="s">
        <v>277</v>
      </c>
      <c r="D5" s="5" t="s">
        <v>276</v>
      </c>
      <c r="E5" s="5" t="s">
        <v>104</v>
      </c>
      <c r="F5" s="5" t="s">
        <v>278</v>
      </c>
      <c r="G5" s="5" t="s">
        <v>267</v>
      </c>
      <c r="H5" s="5" t="s">
        <v>74</v>
      </c>
      <c r="I5" s="5" t="s">
        <v>271</v>
      </c>
      <c r="J5" s="5" t="s">
        <v>54</v>
      </c>
      <c r="K5" s="5" t="s">
        <v>270</v>
      </c>
      <c r="L5" s="155" t="s">
        <v>71</v>
      </c>
      <c r="M5" s="110" t="s">
        <v>109</v>
      </c>
      <c r="N5" s="2" t="s">
        <v>169</v>
      </c>
      <c r="O5" s="2" t="s">
        <v>97</v>
      </c>
      <c r="P5" s="2" t="s">
        <v>87</v>
      </c>
      <c r="Q5" s="51" t="s">
        <v>46</v>
      </c>
      <c r="S5" s="159" t="s">
        <v>128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192</v>
      </c>
      <c r="B6" s="153" t="s">
        <v>179</v>
      </c>
      <c r="C6" s="5" t="s">
        <v>97</v>
      </c>
      <c r="D6" s="5" t="s">
        <v>276</v>
      </c>
      <c r="E6" s="5" t="s">
        <v>188</v>
      </c>
      <c r="F6" s="5" t="s">
        <v>278</v>
      </c>
      <c r="G6" s="5" t="s">
        <v>109</v>
      </c>
      <c r="H6" s="5" t="s">
        <v>74</v>
      </c>
      <c r="I6" s="5" t="s">
        <v>271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169</v>
      </c>
      <c r="O6" s="2" t="s">
        <v>93</v>
      </c>
      <c r="P6" s="2" t="s">
        <v>270</v>
      </c>
      <c r="Q6" s="51" t="s">
        <v>110</v>
      </c>
      <c r="S6" s="159" t="s">
        <v>128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193</v>
      </c>
      <c r="B7" s="153" t="s">
        <v>179</v>
      </c>
      <c r="C7" s="5" t="s">
        <v>97</v>
      </c>
      <c r="D7" s="5" t="s">
        <v>276</v>
      </c>
      <c r="E7" s="5" t="s">
        <v>104</v>
      </c>
      <c r="F7" s="5" t="s">
        <v>267</v>
      </c>
      <c r="G7" s="5" t="s">
        <v>110</v>
      </c>
      <c r="H7" s="5" t="s">
        <v>74</v>
      </c>
      <c r="I7" s="5" t="s">
        <v>169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271</v>
      </c>
      <c r="Q7" s="51" t="s">
        <v>270</v>
      </c>
      <c r="S7" s="159" t="s">
        <v>129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194</v>
      </c>
      <c r="B8" s="153" t="s">
        <v>178</v>
      </c>
      <c r="C8" s="5" t="s">
        <v>277</v>
      </c>
      <c r="D8" s="5" t="s">
        <v>276</v>
      </c>
      <c r="E8" s="5" t="s">
        <v>188</v>
      </c>
      <c r="F8" s="5" t="s">
        <v>267</v>
      </c>
      <c r="G8" s="5" t="s">
        <v>278</v>
      </c>
      <c r="H8" s="5" t="s">
        <v>74</v>
      </c>
      <c r="I8" s="5" t="s">
        <v>271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169</v>
      </c>
      <c r="P8" s="2" t="s">
        <v>71</v>
      </c>
      <c r="Q8" s="51"/>
    </row>
    <row r="9" spans="1:35">
      <c r="A9" s="159" t="s">
        <v>195</v>
      </c>
      <c r="B9" s="153" t="s">
        <v>178</v>
      </c>
      <c r="C9" s="5" t="s">
        <v>277</v>
      </c>
      <c r="D9" s="5" t="s">
        <v>276</v>
      </c>
      <c r="E9" s="5" t="s">
        <v>188</v>
      </c>
      <c r="F9" s="5" t="s">
        <v>267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279</v>
      </c>
      <c r="N9" s="2" t="s">
        <v>271</v>
      </c>
      <c r="O9" s="2" t="s">
        <v>87</v>
      </c>
      <c r="P9" s="2" t="s">
        <v>181</v>
      </c>
      <c r="Q9" s="51"/>
    </row>
    <row r="10" spans="1:35">
      <c r="A10" s="159" t="s">
        <v>196</v>
      </c>
      <c r="B10" s="153" t="s">
        <v>179</v>
      </c>
      <c r="C10" s="5" t="s">
        <v>176</v>
      </c>
      <c r="D10" s="5" t="s">
        <v>276</v>
      </c>
      <c r="E10" s="5" t="s">
        <v>104</v>
      </c>
      <c r="F10" s="5" t="s">
        <v>110</v>
      </c>
      <c r="G10" s="5" t="s">
        <v>278</v>
      </c>
      <c r="H10" s="5" t="s">
        <v>74</v>
      </c>
      <c r="I10" s="5" t="s">
        <v>271</v>
      </c>
      <c r="J10" s="5" t="s">
        <v>54</v>
      </c>
      <c r="K10" s="5" t="s">
        <v>270</v>
      </c>
      <c r="L10" s="155" t="s">
        <v>260</v>
      </c>
      <c r="M10" s="110" t="s">
        <v>71</v>
      </c>
      <c r="N10" s="2" t="s">
        <v>46</v>
      </c>
      <c r="O10" s="2" t="s">
        <v>93</v>
      </c>
      <c r="P10" s="2" t="s">
        <v>267</v>
      </c>
      <c r="Q10" s="51" t="s">
        <v>92</v>
      </c>
    </row>
    <row r="11" spans="1:35">
      <c r="A11" s="159" t="s">
        <v>197</v>
      </c>
      <c r="B11" s="153" t="s">
        <v>179</v>
      </c>
      <c r="C11" s="5" t="s">
        <v>176</v>
      </c>
      <c r="D11" s="5" t="s">
        <v>279</v>
      </c>
      <c r="E11" s="5" t="s">
        <v>104</v>
      </c>
      <c r="F11" s="5" t="s">
        <v>109</v>
      </c>
      <c r="G11" s="5" t="s">
        <v>278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169</v>
      </c>
      <c r="N11" s="2" t="s">
        <v>267</v>
      </c>
      <c r="O11" s="2" t="s">
        <v>271</v>
      </c>
      <c r="P11" s="2" t="s">
        <v>277</v>
      </c>
      <c r="Q11" s="51" t="s">
        <v>188</v>
      </c>
    </row>
    <row r="12" spans="1:35">
      <c r="A12" s="159" t="s">
        <v>198</v>
      </c>
      <c r="B12" s="153" t="s">
        <v>179</v>
      </c>
      <c r="C12" s="5" t="s">
        <v>176</v>
      </c>
      <c r="D12" s="5" t="s">
        <v>279</v>
      </c>
      <c r="E12" s="5" t="s">
        <v>277</v>
      </c>
      <c r="F12" s="5" t="s">
        <v>109</v>
      </c>
      <c r="G12" s="5" t="s">
        <v>278</v>
      </c>
      <c r="H12" s="5" t="s">
        <v>169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271</v>
      </c>
      <c r="O12" s="2" t="s">
        <v>267</v>
      </c>
      <c r="P12" s="2" t="s">
        <v>97</v>
      </c>
      <c r="Q12" s="51" t="s">
        <v>188</v>
      </c>
    </row>
    <row r="13" spans="1:35">
      <c r="A13" s="159" t="s">
        <v>199</v>
      </c>
      <c r="B13" s="153" t="s">
        <v>179</v>
      </c>
      <c r="C13" s="5" t="s">
        <v>176</v>
      </c>
      <c r="D13" s="5" t="s">
        <v>276</v>
      </c>
      <c r="E13" s="5" t="s">
        <v>104</v>
      </c>
      <c r="F13" s="5" t="s">
        <v>267</v>
      </c>
      <c r="G13" s="5" t="s">
        <v>278</v>
      </c>
      <c r="H13" s="5" t="s">
        <v>169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271</v>
      </c>
      <c r="P13" s="2" t="s">
        <v>141</v>
      </c>
      <c r="Q13" s="51" t="s">
        <v>188</v>
      </c>
    </row>
    <row r="14" spans="1:35">
      <c r="A14" s="159" t="s">
        <v>200</v>
      </c>
      <c r="B14" s="153" t="s">
        <v>178</v>
      </c>
      <c r="C14" s="5" t="s">
        <v>176</v>
      </c>
      <c r="D14" s="5" t="s">
        <v>276</v>
      </c>
      <c r="E14" s="5" t="s">
        <v>104</v>
      </c>
      <c r="F14" s="5" t="s">
        <v>267</v>
      </c>
      <c r="G14" s="5" t="s">
        <v>278</v>
      </c>
      <c r="H14" s="5" t="s">
        <v>169</v>
      </c>
      <c r="I14" s="5" t="s">
        <v>271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188</v>
      </c>
      <c r="O14" s="2" t="s">
        <v>141</v>
      </c>
      <c r="P14" s="2" t="s">
        <v>109</v>
      </c>
      <c r="Q14" s="51" t="s">
        <v>97</v>
      </c>
    </row>
    <row r="15" spans="1:35">
      <c r="A15" s="159" t="s">
        <v>201</v>
      </c>
      <c r="B15" s="153" t="s">
        <v>178</v>
      </c>
      <c r="C15" s="5" t="s">
        <v>176</v>
      </c>
      <c r="D15" s="5" t="s">
        <v>276</v>
      </c>
      <c r="E15" s="5" t="s">
        <v>188</v>
      </c>
      <c r="F15" s="5" t="s">
        <v>267</v>
      </c>
      <c r="G15" s="5" t="s">
        <v>109</v>
      </c>
      <c r="H15" s="5" t="s">
        <v>169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271</v>
      </c>
      <c r="N15" s="2" t="s">
        <v>141</v>
      </c>
      <c r="O15" s="2" t="s">
        <v>97</v>
      </c>
      <c r="P15" s="2" t="s">
        <v>170</v>
      </c>
      <c r="Q15" s="51" t="s">
        <v>270</v>
      </c>
    </row>
    <row r="16" spans="1:35">
      <c r="A16" s="159" t="s">
        <v>202</v>
      </c>
      <c r="B16" s="153" t="s">
        <v>178</v>
      </c>
      <c r="C16" s="5" t="s">
        <v>97</v>
      </c>
      <c r="D16" s="5" t="s">
        <v>279</v>
      </c>
      <c r="E16" s="5" t="s">
        <v>277</v>
      </c>
      <c r="F16" s="5" t="s">
        <v>280</v>
      </c>
      <c r="G16" s="5" t="s">
        <v>110</v>
      </c>
      <c r="H16" s="5" t="s">
        <v>169</v>
      </c>
      <c r="I16" s="5" t="s">
        <v>271</v>
      </c>
      <c r="J16" s="5" t="s">
        <v>54</v>
      </c>
      <c r="K16" s="5" t="s">
        <v>270</v>
      </c>
      <c r="L16" s="155" t="s">
        <v>71</v>
      </c>
      <c r="M16" s="110" t="s">
        <v>141</v>
      </c>
      <c r="N16" s="2" t="s">
        <v>87</v>
      </c>
      <c r="O16" s="2" t="s">
        <v>263</v>
      </c>
      <c r="P16" s="2" t="s">
        <v>176</v>
      </c>
      <c r="Q16" s="51" t="s">
        <v>46</v>
      </c>
    </row>
    <row r="17" spans="1:17">
      <c r="A17" s="159" t="s">
        <v>203</v>
      </c>
      <c r="B17" s="153" t="s">
        <v>178</v>
      </c>
      <c r="C17" s="5" t="s">
        <v>188</v>
      </c>
      <c r="D17" s="5" t="s">
        <v>276</v>
      </c>
      <c r="E17" s="5" t="s">
        <v>176</v>
      </c>
      <c r="F17" s="5" t="s">
        <v>280</v>
      </c>
      <c r="G17" s="5" t="s">
        <v>267</v>
      </c>
      <c r="H17" s="5" t="s">
        <v>93</v>
      </c>
      <c r="I17" s="5" t="s">
        <v>271</v>
      </c>
      <c r="J17" s="5" t="s">
        <v>54</v>
      </c>
      <c r="K17" s="5" t="s">
        <v>46</v>
      </c>
      <c r="L17" s="155" t="s">
        <v>154</v>
      </c>
      <c r="M17" s="110" t="s">
        <v>169</v>
      </c>
      <c r="N17" s="2" t="s">
        <v>71</v>
      </c>
      <c r="O17" s="2" t="s">
        <v>170</v>
      </c>
      <c r="P17" s="2" t="s">
        <v>270</v>
      </c>
      <c r="Q17" s="51" t="s">
        <v>278</v>
      </c>
    </row>
    <row r="18" spans="1:17">
      <c r="A18" s="159" t="s">
        <v>204</v>
      </c>
      <c r="B18" s="153" t="s">
        <v>179</v>
      </c>
      <c r="C18" s="5" t="s">
        <v>97</v>
      </c>
      <c r="D18" s="5" t="s">
        <v>279</v>
      </c>
      <c r="E18" s="5" t="s">
        <v>277</v>
      </c>
      <c r="F18" s="5" t="s">
        <v>280</v>
      </c>
      <c r="G18" s="5" t="s">
        <v>110</v>
      </c>
      <c r="H18" s="5" t="s">
        <v>169</v>
      </c>
      <c r="I18" s="5" t="s">
        <v>170</v>
      </c>
      <c r="J18" s="5" t="s">
        <v>54</v>
      </c>
      <c r="K18" s="5" t="s">
        <v>270</v>
      </c>
      <c r="L18" s="155" t="s">
        <v>71</v>
      </c>
      <c r="M18" s="110" t="s">
        <v>141</v>
      </c>
      <c r="N18" s="2" t="s">
        <v>271</v>
      </c>
      <c r="O18" s="2" t="s">
        <v>46</v>
      </c>
      <c r="P18" s="2" t="s">
        <v>278</v>
      </c>
      <c r="Q18" s="51" t="s">
        <v>87</v>
      </c>
    </row>
    <row r="19" spans="1:17">
      <c r="A19" s="159" t="s">
        <v>205</v>
      </c>
      <c r="B19" s="153" t="s">
        <v>179</v>
      </c>
      <c r="C19" s="5" t="s">
        <v>188</v>
      </c>
      <c r="D19" s="5" t="s">
        <v>276</v>
      </c>
      <c r="E19" s="5" t="s">
        <v>176</v>
      </c>
      <c r="F19" s="5" t="s">
        <v>280</v>
      </c>
      <c r="G19" s="5" t="s">
        <v>110</v>
      </c>
      <c r="H19" s="5" t="s">
        <v>169</v>
      </c>
      <c r="I19" s="5" t="s">
        <v>170</v>
      </c>
      <c r="J19" s="5" t="s">
        <v>54</v>
      </c>
      <c r="K19" s="5" t="s">
        <v>46</v>
      </c>
      <c r="L19" s="155" t="s">
        <v>87</v>
      </c>
      <c r="M19" s="110" t="s">
        <v>141</v>
      </c>
      <c r="N19" s="2" t="s">
        <v>271</v>
      </c>
      <c r="O19" s="2" t="s">
        <v>267</v>
      </c>
      <c r="P19" s="2" t="s">
        <v>97</v>
      </c>
      <c r="Q19" s="51" t="s">
        <v>278</v>
      </c>
    </row>
    <row r="20" spans="1:17">
      <c r="A20" s="159" t="s">
        <v>206</v>
      </c>
      <c r="B20" s="153" t="s">
        <v>179</v>
      </c>
      <c r="C20" s="5" t="s">
        <v>97</v>
      </c>
      <c r="D20" s="5" t="s">
        <v>279</v>
      </c>
      <c r="E20" s="5" t="s">
        <v>277</v>
      </c>
      <c r="F20" s="5" t="s">
        <v>280</v>
      </c>
      <c r="G20" s="5" t="s">
        <v>278</v>
      </c>
      <c r="H20" s="5" t="s">
        <v>169</v>
      </c>
      <c r="I20" s="5" t="s">
        <v>170</v>
      </c>
      <c r="J20" s="5" t="s">
        <v>109</v>
      </c>
      <c r="K20" s="5" t="s">
        <v>54</v>
      </c>
      <c r="L20" s="155" t="s">
        <v>141</v>
      </c>
      <c r="M20" s="110" t="s">
        <v>46</v>
      </c>
      <c r="N20" s="2" t="s">
        <v>87</v>
      </c>
      <c r="O20" s="2" t="s">
        <v>271</v>
      </c>
      <c r="P20" s="2" t="s">
        <v>267</v>
      </c>
      <c r="Q20" s="51"/>
    </row>
    <row r="21" spans="1:17">
      <c r="A21" s="159" t="s">
        <v>207</v>
      </c>
      <c r="B21" s="153" t="s">
        <v>178</v>
      </c>
      <c r="C21" s="5" t="s">
        <v>97</v>
      </c>
      <c r="D21" s="5" t="s">
        <v>276</v>
      </c>
      <c r="E21" s="5" t="s">
        <v>176</v>
      </c>
      <c r="F21" s="5" t="s">
        <v>110</v>
      </c>
      <c r="G21" s="5" t="s">
        <v>267</v>
      </c>
      <c r="H21" s="5" t="s">
        <v>169</v>
      </c>
      <c r="I21" s="5" t="s">
        <v>170</v>
      </c>
      <c r="J21" s="5" t="s">
        <v>271</v>
      </c>
      <c r="K21" s="5" t="s">
        <v>46</v>
      </c>
      <c r="L21" s="155" t="s">
        <v>141</v>
      </c>
      <c r="M21" s="110" t="s">
        <v>278</v>
      </c>
      <c r="N21" s="2" t="s">
        <v>109</v>
      </c>
      <c r="O21" s="2" t="s">
        <v>181</v>
      </c>
      <c r="P21" s="2" t="s">
        <v>154</v>
      </c>
      <c r="Q21" s="51"/>
    </row>
    <row r="22" spans="1:17">
      <c r="A22" s="159" t="s">
        <v>208</v>
      </c>
      <c r="B22" s="153" t="s">
        <v>179</v>
      </c>
      <c r="C22" s="5" t="s">
        <v>104</v>
      </c>
      <c r="D22" s="5" t="s">
        <v>276</v>
      </c>
      <c r="E22" s="5" t="s">
        <v>176</v>
      </c>
      <c r="F22" s="5" t="s">
        <v>109</v>
      </c>
      <c r="G22" s="5" t="s">
        <v>278</v>
      </c>
      <c r="H22" s="5" t="s">
        <v>97</v>
      </c>
      <c r="I22" s="5" t="s">
        <v>170</v>
      </c>
      <c r="J22" s="5" t="s">
        <v>92</v>
      </c>
      <c r="K22" s="5" t="s">
        <v>46</v>
      </c>
      <c r="L22" s="155" t="s">
        <v>266</v>
      </c>
      <c r="M22" s="110" t="s">
        <v>277</v>
      </c>
      <c r="N22" s="2" t="s">
        <v>141</v>
      </c>
      <c r="O22" s="2" t="s">
        <v>87</v>
      </c>
      <c r="P22" s="2" t="s">
        <v>93</v>
      </c>
      <c r="Q22" s="51" t="s">
        <v>280</v>
      </c>
    </row>
    <row r="23" spans="1:17">
      <c r="A23" s="159" t="s">
        <v>209</v>
      </c>
      <c r="B23" s="153" t="s">
        <v>179</v>
      </c>
      <c r="C23" s="5" t="s">
        <v>97</v>
      </c>
      <c r="D23" s="5" t="s">
        <v>276</v>
      </c>
      <c r="E23" s="5" t="s">
        <v>104</v>
      </c>
      <c r="F23" s="5" t="s">
        <v>109</v>
      </c>
      <c r="G23" s="5" t="s">
        <v>267</v>
      </c>
      <c r="H23" s="5" t="s">
        <v>278</v>
      </c>
      <c r="I23" s="5" t="s">
        <v>170</v>
      </c>
      <c r="J23" s="5" t="s">
        <v>93</v>
      </c>
      <c r="K23" s="5" t="s">
        <v>46</v>
      </c>
      <c r="L23" s="155" t="s">
        <v>266</v>
      </c>
      <c r="M23" s="110" t="s">
        <v>141</v>
      </c>
      <c r="N23" s="2" t="s">
        <v>87</v>
      </c>
      <c r="O23" s="2" t="s">
        <v>74</v>
      </c>
      <c r="P23" s="2"/>
      <c r="Q23" s="51"/>
    </row>
    <row r="24" spans="1:17">
      <c r="A24" s="159" t="s">
        <v>210</v>
      </c>
      <c r="B24" s="153" t="s">
        <v>179</v>
      </c>
      <c r="C24" s="5" t="s">
        <v>97</v>
      </c>
      <c r="D24" s="5" t="s">
        <v>276</v>
      </c>
      <c r="E24" s="5" t="s">
        <v>104</v>
      </c>
      <c r="F24" s="5" t="s">
        <v>278</v>
      </c>
      <c r="G24" s="5" t="s">
        <v>280</v>
      </c>
      <c r="H24" s="5" t="s">
        <v>170</v>
      </c>
      <c r="I24" s="5" t="s">
        <v>93</v>
      </c>
      <c r="J24" s="5" t="s">
        <v>109</v>
      </c>
      <c r="K24" s="5" t="s">
        <v>46</v>
      </c>
      <c r="L24" s="155" t="s">
        <v>141</v>
      </c>
      <c r="M24" s="110" t="s">
        <v>74</v>
      </c>
      <c r="N24" s="2" t="s">
        <v>87</v>
      </c>
      <c r="O24" s="2" t="s">
        <v>263</v>
      </c>
      <c r="P24" s="2" t="s">
        <v>267</v>
      </c>
      <c r="Q24" s="51"/>
    </row>
    <row r="25" spans="1:17">
      <c r="A25" s="159" t="s">
        <v>211</v>
      </c>
      <c r="B25" s="153" t="s">
        <v>179</v>
      </c>
      <c r="C25" s="5" t="s">
        <v>97</v>
      </c>
      <c r="D25" s="5" t="s">
        <v>276</v>
      </c>
      <c r="E25" s="5" t="s">
        <v>188</v>
      </c>
      <c r="F25" s="5" t="s">
        <v>278</v>
      </c>
      <c r="G25" s="5" t="s">
        <v>280</v>
      </c>
      <c r="H25" s="5" t="s">
        <v>170</v>
      </c>
      <c r="I25" s="5" t="s">
        <v>93</v>
      </c>
      <c r="J25" s="5" t="s">
        <v>74</v>
      </c>
      <c r="K25" s="5" t="s">
        <v>46</v>
      </c>
      <c r="L25" s="155" t="s">
        <v>141</v>
      </c>
      <c r="M25" s="110" t="s">
        <v>271</v>
      </c>
      <c r="N25" s="2" t="s">
        <v>109</v>
      </c>
      <c r="O25" s="2" t="s">
        <v>87</v>
      </c>
      <c r="P25" s="2" t="s">
        <v>176</v>
      </c>
      <c r="Q25" s="51" t="s">
        <v>267</v>
      </c>
    </row>
    <row r="26" spans="1:17">
      <c r="A26" s="159" t="s">
        <v>212</v>
      </c>
      <c r="B26" s="153" t="s">
        <v>179</v>
      </c>
      <c r="C26" s="5" t="s">
        <v>97</v>
      </c>
      <c r="D26" s="5" t="s">
        <v>276</v>
      </c>
      <c r="E26" s="5" t="s">
        <v>176</v>
      </c>
      <c r="F26" s="5" t="s">
        <v>278</v>
      </c>
      <c r="G26" s="5" t="s">
        <v>280</v>
      </c>
      <c r="H26" s="5" t="s">
        <v>74</v>
      </c>
      <c r="I26" s="5" t="s">
        <v>271</v>
      </c>
      <c r="J26" s="5" t="s">
        <v>109</v>
      </c>
      <c r="K26" s="5" t="s">
        <v>46</v>
      </c>
      <c r="L26" s="155" t="s">
        <v>87</v>
      </c>
      <c r="M26" s="110" t="s">
        <v>141</v>
      </c>
      <c r="N26" s="2" t="s">
        <v>170</v>
      </c>
      <c r="O26" s="2" t="s">
        <v>93</v>
      </c>
      <c r="P26" s="2"/>
      <c r="Q26" s="51"/>
    </row>
    <row r="27" spans="1:17">
      <c r="A27" s="159" t="s">
        <v>213</v>
      </c>
      <c r="B27" s="153" t="s">
        <v>179</v>
      </c>
      <c r="C27" s="5" t="s">
        <v>176</v>
      </c>
      <c r="D27" s="5" t="s">
        <v>276</v>
      </c>
      <c r="E27" s="5" t="s">
        <v>267</v>
      </c>
      <c r="F27" s="5" t="s">
        <v>278</v>
      </c>
      <c r="G27" s="5" t="s">
        <v>170</v>
      </c>
      <c r="H27" s="5" t="s">
        <v>74</v>
      </c>
      <c r="I27" s="5" t="s">
        <v>271</v>
      </c>
      <c r="J27" s="5" t="s">
        <v>141</v>
      </c>
      <c r="K27" s="5" t="s">
        <v>46</v>
      </c>
      <c r="L27" s="155" t="s">
        <v>87</v>
      </c>
      <c r="M27" s="110" t="s">
        <v>97</v>
      </c>
      <c r="N27" s="2" t="s">
        <v>188</v>
      </c>
      <c r="O27" s="2" t="s">
        <v>54</v>
      </c>
      <c r="P27" s="2" t="s">
        <v>109</v>
      </c>
      <c r="Q27" s="51" t="s">
        <v>169</v>
      </c>
    </row>
    <row r="28" spans="1:17">
      <c r="A28" s="159" t="s">
        <v>214</v>
      </c>
      <c r="B28" s="153" t="s">
        <v>179</v>
      </c>
      <c r="C28" s="5" t="s">
        <v>97</v>
      </c>
      <c r="D28" s="5" t="s">
        <v>276</v>
      </c>
      <c r="E28" s="5" t="s">
        <v>267</v>
      </c>
      <c r="F28" s="5" t="s">
        <v>278</v>
      </c>
      <c r="G28" s="5" t="s">
        <v>170</v>
      </c>
      <c r="H28" s="5" t="s">
        <v>74</v>
      </c>
      <c r="I28" s="5" t="s">
        <v>271</v>
      </c>
      <c r="J28" s="5" t="s">
        <v>169</v>
      </c>
      <c r="K28" s="5" t="s">
        <v>46</v>
      </c>
      <c r="L28" s="155" t="s">
        <v>54</v>
      </c>
      <c r="M28" s="110" t="s">
        <v>141</v>
      </c>
      <c r="N28" s="2" t="s">
        <v>71</v>
      </c>
      <c r="O28" s="2" t="s">
        <v>188</v>
      </c>
      <c r="P28" s="2" t="s">
        <v>178</v>
      </c>
      <c r="Q28" s="51" t="s">
        <v>263</v>
      </c>
    </row>
    <row r="29" spans="1:17">
      <c r="A29" s="159" t="s">
        <v>215</v>
      </c>
      <c r="B29" s="153" t="s">
        <v>178</v>
      </c>
      <c r="C29" s="5" t="s">
        <v>97</v>
      </c>
      <c r="D29" s="5" t="s">
        <v>276</v>
      </c>
      <c r="E29" s="5" t="s">
        <v>267</v>
      </c>
      <c r="F29" s="5" t="s">
        <v>278</v>
      </c>
      <c r="G29" s="5" t="s">
        <v>170</v>
      </c>
      <c r="H29" s="5" t="s">
        <v>74</v>
      </c>
      <c r="I29" s="5" t="s">
        <v>169</v>
      </c>
      <c r="J29" s="5" t="s">
        <v>71</v>
      </c>
      <c r="K29" s="5" t="s">
        <v>46</v>
      </c>
      <c r="L29" s="155" t="s">
        <v>87</v>
      </c>
      <c r="M29" s="110" t="s">
        <v>141</v>
      </c>
      <c r="N29" s="2" t="s">
        <v>54</v>
      </c>
      <c r="O29" s="2" t="s">
        <v>188</v>
      </c>
      <c r="P29" s="2" t="s">
        <v>93</v>
      </c>
      <c r="Q29" s="51" t="s">
        <v>110</v>
      </c>
    </row>
    <row r="30" spans="1:17">
      <c r="A30" s="159" t="s">
        <v>216</v>
      </c>
      <c r="B30" s="153" t="s">
        <v>178</v>
      </c>
      <c r="C30" s="5" t="s">
        <v>97</v>
      </c>
      <c r="D30" s="5" t="s">
        <v>276</v>
      </c>
      <c r="E30" s="5" t="s">
        <v>267</v>
      </c>
      <c r="F30" s="5" t="s">
        <v>188</v>
      </c>
      <c r="G30" s="5" t="s">
        <v>170</v>
      </c>
      <c r="H30" s="5" t="s">
        <v>74</v>
      </c>
      <c r="I30" s="5" t="s">
        <v>169</v>
      </c>
      <c r="J30" s="5" t="s">
        <v>71</v>
      </c>
      <c r="K30" s="5" t="s">
        <v>46</v>
      </c>
      <c r="L30" s="155" t="s">
        <v>109</v>
      </c>
      <c r="M30" s="110" t="s">
        <v>141</v>
      </c>
      <c r="N30" s="2" t="s">
        <v>54</v>
      </c>
      <c r="O30" s="2" t="s">
        <v>271</v>
      </c>
      <c r="P30" s="2" t="s">
        <v>278</v>
      </c>
      <c r="Q30" s="51" t="s">
        <v>110</v>
      </c>
    </row>
    <row r="31" spans="1:17">
      <c r="A31" s="159" t="s">
        <v>217</v>
      </c>
      <c r="B31" s="153" t="s">
        <v>178</v>
      </c>
      <c r="C31" s="5" t="s">
        <v>97</v>
      </c>
      <c r="D31" s="5" t="s">
        <v>276</v>
      </c>
      <c r="E31" s="5" t="s">
        <v>110</v>
      </c>
      <c r="F31" s="5" t="s">
        <v>278</v>
      </c>
      <c r="G31" s="5" t="s">
        <v>170</v>
      </c>
      <c r="H31" s="5" t="s">
        <v>74</v>
      </c>
      <c r="I31" s="5" t="s">
        <v>169</v>
      </c>
      <c r="J31" s="5" t="s">
        <v>71</v>
      </c>
      <c r="K31" s="5" t="s">
        <v>141</v>
      </c>
      <c r="L31" s="155" t="s">
        <v>271</v>
      </c>
      <c r="M31" s="110" t="s">
        <v>280</v>
      </c>
      <c r="N31" s="2" t="s">
        <v>267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218</v>
      </c>
      <c r="B32" s="153" t="s">
        <v>179</v>
      </c>
      <c r="C32" s="5" t="s">
        <v>97</v>
      </c>
      <c r="D32" s="5" t="s">
        <v>276</v>
      </c>
      <c r="E32" s="5" t="s">
        <v>110</v>
      </c>
      <c r="F32" s="5" t="s">
        <v>280</v>
      </c>
      <c r="G32" s="5" t="s">
        <v>278</v>
      </c>
      <c r="H32" s="5" t="s">
        <v>74</v>
      </c>
      <c r="I32" s="5" t="s">
        <v>169</v>
      </c>
      <c r="J32" s="5" t="s">
        <v>87</v>
      </c>
      <c r="K32" s="5" t="s">
        <v>46</v>
      </c>
      <c r="L32" s="155" t="s">
        <v>154</v>
      </c>
      <c r="M32" s="110" t="s">
        <v>141</v>
      </c>
      <c r="N32" s="2" t="s">
        <v>71</v>
      </c>
      <c r="O32" s="2" t="s">
        <v>271</v>
      </c>
      <c r="P32" s="2" t="s">
        <v>267</v>
      </c>
      <c r="Q32" s="51" t="s">
        <v>170</v>
      </c>
    </row>
    <row r="33" spans="1:17">
      <c r="A33" s="159" t="s">
        <v>220</v>
      </c>
      <c r="B33" s="153" t="s">
        <v>179</v>
      </c>
      <c r="C33" s="5" t="s">
        <v>97</v>
      </c>
      <c r="D33" s="5" t="s">
        <v>276</v>
      </c>
      <c r="E33" s="5" t="s">
        <v>110</v>
      </c>
      <c r="F33" s="5" t="s">
        <v>280</v>
      </c>
      <c r="G33" s="5" t="s">
        <v>170</v>
      </c>
      <c r="H33" s="5" t="s">
        <v>74</v>
      </c>
      <c r="I33" s="5" t="s">
        <v>169</v>
      </c>
      <c r="J33" s="5" t="s">
        <v>71</v>
      </c>
      <c r="K33" s="5" t="s">
        <v>46</v>
      </c>
      <c r="L33" s="155" t="s">
        <v>154</v>
      </c>
      <c r="M33" s="110" t="s">
        <v>141</v>
      </c>
      <c r="N33" s="2" t="s">
        <v>87</v>
      </c>
      <c r="O33" s="2" t="s">
        <v>278</v>
      </c>
      <c r="P33" s="2" t="s">
        <v>267</v>
      </c>
      <c r="Q33" s="51"/>
    </row>
    <row r="34" spans="1:17">
      <c r="A34" s="159" t="s">
        <v>221</v>
      </c>
      <c r="B34" s="153" t="s">
        <v>179</v>
      </c>
      <c r="C34" s="5" t="s">
        <v>97</v>
      </c>
      <c r="D34" s="5" t="s">
        <v>276</v>
      </c>
      <c r="E34" s="5" t="s">
        <v>267</v>
      </c>
      <c r="F34" s="5" t="s">
        <v>110</v>
      </c>
      <c r="G34" s="5" t="s">
        <v>278</v>
      </c>
      <c r="H34" s="5" t="s">
        <v>74</v>
      </c>
      <c r="I34" s="5" t="s">
        <v>169</v>
      </c>
      <c r="J34" s="5" t="s">
        <v>271</v>
      </c>
      <c r="K34" s="5" t="s">
        <v>46</v>
      </c>
      <c r="L34" s="155" t="s">
        <v>141</v>
      </c>
      <c r="M34" s="110" t="s">
        <v>87</v>
      </c>
      <c r="N34" s="2" t="s">
        <v>71</v>
      </c>
      <c r="O34" s="2" t="s">
        <v>109</v>
      </c>
      <c r="P34" s="2" t="s">
        <v>188</v>
      </c>
      <c r="Q34" s="51" t="s">
        <v>104</v>
      </c>
    </row>
    <row r="35" spans="1:17">
      <c r="A35" s="159" t="s">
        <v>222</v>
      </c>
      <c r="B35" s="153" t="s">
        <v>179</v>
      </c>
      <c r="C35" s="5" t="s">
        <v>97</v>
      </c>
      <c r="D35" s="5" t="s">
        <v>188</v>
      </c>
      <c r="E35" s="5" t="s">
        <v>104</v>
      </c>
      <c r="F35" s="5" t="s">
        <v>109</v>
      </c>
      <c r="G35" s="5" t="s">
        <v>278</v>
      </c>
      <c r="H35" s="5" t="s">
        <v>74</v>
      </c>
      <c r="I35" s="5" t="s">
        <v>169</v>
      </c>
      <c r="J35" s="5" t="s">
        <v>93</v>
      </c>
      <c r="K35" s="5" t="s">
        <v>71</v>
      </c>
      <c r="L35" s="155" t="s">
        <v>92</v>
      </c>
      <c r="M35" s="110" t="s">
        <v>277</v>
      </c>
      <c r="N35" s="2" t="s">
        <v>46</v>
      </c>
      <c r="O35" s="2" t="s">
        <v>280</v>
      </c>
      <c r="P35" s="2" t="s">
        <v>110</v>
      </c>
      <c r="Q35" s="51" t="s">
        <v>260</v>
      </c>
    </row>
    <row r="36" spans="1:17">
      <c r="A36" s="159" t="s">
        <v>223</v>
      </c>
      <c r="B36" s="153" t="s">
        <v>179</v>
      </c>
      <c r="C36" s="5" t="s">
        <v>97</v>
      </c>
      <c r="D36" s="5" t="s">
        <v>188</v>
      </c>
      <c r="E36" s="5" t="s">
        <v>104</v>
      </c>
      <c r="F36" s="5" t="s">
        <v>109</v>
      </c>
      <c r="G36" s="5" t="s">
        <v>278</v>
      </c>
      <c r="H36" s="5" t="s">
        <v>74</v>
      </c>
      <c r="I36" s="5" t="s">
        <v>169</v>
      </c>
      <c r="J36" s="5" t="s">
        <v>93</v>
      </c>
      <c r="K36" s="5" t="s">
        <v>71</v>
      </c>
      <c r="L36" s="155" t="s">
        <v>46</v>
      </c>
      <c r="M36" s="110" t="s">
        <v>277</v>
      </c>
      <c r="N36" s="2" t="s">
        <v>92</v>
      </c>
      <c r="O36" s="2" t="s">
        <v>280</v>
      </c>
      <c r="P36" s="2" t="s">
        <v>263</v>
      </c>
      <c r="Q36" s="51"/>
    </row>
    <row r="37" spans="1:17">
      <c r="A37" s="159" t="s">
        <v>224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225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226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122</v>
      </c>
      <c r="C2" s="138" t="s">
        <v>30</v>
      </c>
      <c r="D2" s="138" t="s">
        <v>123</v>
      </c>
      <c r="E2" s="138" t="s">
        <v>288</v>
      </c>
      <c r="F2" s="138" t="s">
        <v>289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290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290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290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290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290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290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290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290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291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291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291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291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291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291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291</v>
      </c>
      <c r="F17" s="220" t="s">
        <v>292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291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291</v>
      </c>
      <c r="F19" s="221" t="s">
        <v>293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291</v>
      </c>
      <c r="F20" s="221" t="s">
        <v>293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291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291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291</v>
      </c>
      <c r="F23" s="220" t="s">
        <v>294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295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264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147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140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143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296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297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264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72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245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140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143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298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72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245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264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140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143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285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72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245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264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140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189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264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72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245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242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243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136</v>
      </c>
      <c r="AR2" s="4" t="s">
        <v>244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136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246</v>
      </c>
      <c r="I3" s="99" t="s">
        <v>254</v>
      </c>
      <c r="J3" s="99" t="s">
        <v>248</v>
      </c>
      <c r="K3" s="99" t="s">
        <v>33</v>
      </c>
      <c r="L3" s="119" t="s">
        <v>277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299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249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250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246</v>
      </c>
      <c r="I4" s="30" t="s">
        <v>300</v>
      </c>
      <c r="J4" s="30" t="s">
        <v>248</v>
      </c>
      <c r="K4" s="30" t="s">
        <v>32</v>
      </c>
      <c r="L4" s="15" t="s">
        <v>74</v>
      </c>
      <c r="M4" s="15" t="s">
        <v>299</v>
      </c>
      <c r="N4" s="15" t="s">
        <v>271</v>
      </c>
      <c r="O4" s="15"/>
      <c r="P4" s="15"/>
      <c r="Q4" s="15"/>
      <c r="R4" s="15" t="s">
        <v>260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251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301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72</v>
      </c>
      <c r="E5" s="30" t="s">
        <v>45</v>
      </c>
      <c r="F5" s="30">
        <v>1</v>
      </c>
      <c r="G5" s="30">
        <v>0</v>
      </c>
      <c r="H5" s="30" t="s">
        <v>251</v>
      </c>
      <c r="I5" s="30" t="s">
        <v>252</v>
      </c>
      <c r="J5" s="30" t="s">
        <v>262</v>
      </c>
      <c r="K5" s="30" t="s">
        <v>31</v>
      </c>
      <c r="L5" s="15" t="s">
        <v>71</v>
      </c>
      <c r="M5" s="15"/>
      <c r="N5" s="15"/>
      <c r="O5" s="15"/>
      <c r="P5" s="15"/>
      <c r="Q5" s="15" t="s">
        <v>299</v>
      </c>
      <c r="R5" s="15"/>
      <c r="S5" s="15"/>
      <c r="T5" s="15"/>
      <c r="U5" s="15"/>
      <c r="V5" s="92">
        <v>6007</v>
      </c>
      <c r="X5" s="72" t="s">
        <v>271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255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300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258</v>
      </c>
      <c r="I6" s="30" t="s">
        <v>250</v>
      </c>
      <c r="J6" s="30" t="s">
        <v>259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141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302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254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264</v>
      </c>
      <c r="E7" s="30" t="s">
        <v>45</v>
      </c>
      <c r="F7" s="30">
        <v>0</v>
      </c>
      <c r="G7" s="30">
        <v>0</v>
      </c>
      <c r="H7" s="30" t="s">
        <v>251</v>
      </c>
      <c r="I7" s="30" t="s">
        <v>252</v>
      </c>
      <c r="J7" s="30" t="s">
        <v>262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270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303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256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251</v>
      </c>
      <c r="I8" s="30" t="s">
        <v>256</v>
      </c>
      <c r="J8" s="30" t="s">
        <v>269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136</v>
      </c>
      <c r="AR8" s="20" t="s">
        <v>252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258</v>
      </c>
      <c r="I9" s="30" t="s">
        <v>250</v>
      </c>
      <c r="J9" s="30" t="s">
        <v>259</v>
      </c>
      <c r="K9" s="30" t="s">
        <v>31</v>
      </c>
      <c r="L9" s="15" t="s">
        <v>280</v>
      </c>
      <c r="M9" s="15" t="s">
        <v>299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249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247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245</v>
      </c>
      <c r="E10" s="30" t="s">
        <v>45</v>
      </c>
      <c r="F10" s="30">
        <v>2</v>
      </c>
      <c r="G10" s="30">
        <v>2</v>
      </c>
      <c r="H10" s="30" t="s">
        <v>246</v>
      </c>
      <c r="I10" s="30" t="s">
        <v>247</v>
      </c>
      <c r="J10" s="30" t="s">
        <v>304</v>
      </c>
      <c r="K10" s="30" t="s">
        <v>32</v>
      </c>
      <c r="L10" s="15" t="s">
        <v>270</v>
      </c>
      <c r="M10" s="15" t="s">
        <v>270</v>
      </c>
      <c r="N10" s="15"/>
      <c r="O10" s="15"/>
      <c r="P10" s="15"/>
      <c r="Q10" s="15" t="s">
        <v>299</v>
      </c>
      <c r="R10" s="15" t="s">
        <v>110</v>
      </c>
      <c r="S10" s="15"/>
      <c r="T10" s="15"/>
      <c r="U10" s="15"/>
      <c r="V10" s="92">
        <v>8215</v>
      </c>
      <c r="X10" s="72" t="s">
        <v>154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251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305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251</v>
      </c>
      <c r="I11" s="30" t="s">
        <v>256</v>
      </c>
      <c r="J11" s="30" t="s">
        <v>253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306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255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307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251</v>
      </c>
      <c r="I12" s="30" t="s">
        <v>256</v>
      </c>
      <c r="J12" s="30" t="s">
        <v>262</v>
      </c>
      <c r="K12" s="30" t="s">
        <v>31</v>
      </c>
      <c r="L12" s="15" t="s">
        <v>93</v>
      </c>
      <c r="M12" s="15" t="s">
        <v>270</v>
      </c>
      <c r="N12" s="15"/>
      <c r="O12" s="15"/>
      <c r="P12" s="15"/>
      <c r="Q12" s="15" t="s">
        <v>141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302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261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140</v>
      </c>
      <c r="E13" s="30" t="s">
        <v>45</v>
      </c>
      <c r="F13" s="30">
        <v>0</v>
      </c>
      <c r="G13" s="30">
        <v>1</v>
      </c>
      <c r="H13" s="30" t="s">
        <v>246</v>
      </c>
      <c r="I13" s="30" t="s">
        <v>307</v>
      </c>
      <c r="J13" s="30" t="s">
        <v>248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268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303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308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72</v>
      </c>
      <c r="E14" s="24" t="s">
        <v>49</v>
      </c>
      <c r="F14" s="24">
        <v>0</v>
      </c>
      <c r="G14" s="24">
        <v>2</v>
      </c>
      <c r="H14" s="24" t="s">
        <v>258</v>
      </c>
      <c r="I14" s="24" t="s">
        <v>256</v>
      </c>
      <c r="J14" s="24" t="s">
        <v>253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260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309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246</v>
      </c>
      <c r="I15" s="24" t="s">
        <v>300</v>
      </c>
      <c r="J15" s="24" t="s">
        <v>248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263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136</v>
      </c>
      <c r="AR15" s="20" t="s">
        <v>310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251</v>
      </c>
      <c r="I16" s="24" t="s">
        <v>256</v>
      </c>
      <c r="J16" s="24" t="s">
        <v>253</v>
      </c>
      <c r="K16" s="24" t="s">
        <v>32</v>
      </c>
      <c r="L16" s="58" t="s">
        <v>279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249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305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264</v>
      </c>
      <c r="E17" s="24" t="s">
        <v>49</v>
      </c>
      <c r="F17" s="24">
        <v>2</v>
      </c>
      <c r="G17" s="24">
        <v>2</v>
      </c>
      <c r="H17" s="24" t="s">
        <v>246</v>
      </c>
      <c r="I17" s="24" t="s">
        <v>300</v>
      </c>
      <c r="J17" s="24" t="s">
        <v>248</v>
      </c>
      <c r="K17" s="24" t="s">
        <v>32</v>
      </c>
      <c r="L17" s="58" t="s">
        <v>170</v>
      </c>
      <c r="M17" s="58" t="s">
        <v>109</v>
      </c>
      <c r="N17" s="58"/>
      <c r="O17" s="58"/>
      <c r="P17" s="58"/>
      <c r="Q17" s="58" t="s">
        <v>141</v>
      </c>
      <c r="R17" s="58" t="s">
        <v>169</v>
      </c>
      <c r="S17" s="58"/>
      <c r="T17" s="58"/>
      <c r="U17" s="58"/>
      <c r="V17" s="59"/>
      <c r="X17" s="70" t="s">
        <v>169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251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311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251</v>
      </c>
      <c r="I18" s="24" t="s">
        <v>256</v>
      </c>
      <c r="J18" s="24" t="s">
        <v>269</v>
      </c>
      <c r="K18" s="24" t="s">
        <v>31</v>
      </c>
      <c r="L18" s="58" t="s">
        <v>271</v>
      </c>
      <c r="M18" s="58" t="s">
        <v>141</v>
      </c>
      <c r="N18" s="58" t="s">
        <v>141</v>
      </c>
      <c r="O18" s="58"/>
      <c r="P18" s="58"/>
      <c r="Q18" s="58"/>
      <c r="R18" s="58" t="s">
        <v>271</v>
      </c>
      <c r="S18" s="58" t="s">
        <v>271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255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136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246</v>
      </c>
      <c r="I19" s="24" t="s">
        <v>307</v>
      </c>
      <c r="J19" s="24" t="s">
        <v>248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141</v>
      </c>
      <c r="R19" s="58"/>
      <c r="S19" s="58"/>
      <c r="T19" s="58"/>
      <c r="U19" s="58"/>
      <c r="V19" s="93">
        <v>7272</v>
      </c>
      <c r="X19" s="70" t="s">
        <v>170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302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259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140</v>
      </c>
      <c r="E20" s="24" t="s">
        <v>49</v>
      </c>
      <c r="F20" s="24">
        <v>0</v>
      </c>
      <c r="G20" s="24">
        <v>0</v>
      </c>
      <c r="H20" s="24" t="s">
        <v>246</v>
      </c>
      <c r="I20" s="24" t="s">
        <v>247</v>
      </c>
      <c r="J20" s="24" t="s">
        <v>248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312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303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262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251</v>
      </c>
      <c r="I21" s="24" t="s">
        <v>256</v>
      </c>
      <c r="J21" s="24" t="s">
        <v>262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171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269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251</v>
      </c>
      <c r="I22" s="24" t="s">
        <v>252</v>
      </c>
      <c r="J22" s="24" t="s">
        <v>262</v>
      </c>
      <c r="K22" s="24" t="s">
        <v>31</v>
      </c>
      <c r="L22" s="58" t="s">
        <v>154</v>
      </c>
      <c r="M22" s="58"/>
      <c r="N22" s="58"/>
      <c r="O22" s="58"/>
      <c r="P22" s="58"/>
      <c r="Q22" s="58" t="s">
        <v>169</v>
      </c>
      <c r="R22" s="58"/>
      <c r="S22" s="58"/>
      <c r="T22" s="58"/>
      <c r="U22" s="58"/>
      <c r="V22" s="93">
        <v>5076</v>
      </c>
      <c r="X22" s="70" t="s">
        <v>181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253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245</v>
      </c>
      <c r="E23" s="24" t="s">
        <v>49</v>
      </c>
      <c r="F23" s="24">
        <v>2</v>
      </c>
      <c r="G23" s="24">
        <v>2</v>
      </c>
      <c r="H23" s="24" t="s">
        <v>258</v>
      </c>
      <c r="I23" s="24" t="s">
        <v>305</v>
      </c>
      <c r="J23" s="24" t="s">
        <v>259</v>
      </c>
      <c r="K23" s="24" t="s">
        <v>32</v>
      </c>
      <c r="L23" s="58" t="s">
        <v>270</v>
      </c>
      <c r="M23" s="58" t="s">
        <v>313</v>
      </c>
      <c r="N23" s="58"/>
      <c r="O23" s="58"/>
      <c r="P23" s="58"/>
      <c r="Q23" s="58" t="s">
        <v>280</v>
      </c>
      <c r="R23" s="58"/>
      <c r="S23" s="58"/>
      <c r="T23" s="58"/>
      <c r="U23" s="58"/>
      <c r="V23" s="59"/>
      <c r="X23" s="70" t="s">
        <v>182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248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251</v>
      </c>
      <c r="I24" s="24" t="s">
        <v>301</v>
      </c>
      <c r="J24" s="24" t="s">
        <v>253</v>
      </c>
      <c r="K24" s="24" t="s">
        <v>31</v>
      </c>
      <c r="L24" s="58" t="s">
        <v>141</v>
      </c>
      <c r="M24" s="58" t="s">
        <v>299</v>
      </c>
      <c r="N24" s="58"/>
      <c r="O24" s="58"/>
      <c r="P24" s="58"/>
      <c r="Q24" s="58" t="s">
        <v>299</v>
      </c>
      <c r="R24" s="58" t="s">
        <v>71</v>
      </c>
      <c r="S24" s="58"/>
      <c r="T24" s="58"/>
      <c r="U24" s="58"/>
      <c r="V24" s="59"/>
      <c r="X24" s="70" t="s">
        <v>280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304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258</v>
      </c>
      <c r="I25" s="30" t="s">
        <v>301</v>
      </c>
      <c r="J25" s="30" t="s">
        <v>253</v>
      </c>
      <c r="K25" s="30" t="s">
        <v>31</v>
      </c>
      <c r="L25" s="15" t="s">
        <v>71</v>
      </c>
      <c r="M25" s="15" t="s">
        <v>299</v>
      </c>
      <c r="N25" s="15"/>
      <c r="O25" s="15"/>
      <c r="P25" s="15"/>
      <c r="Q25" s="15" t="s">
        <v>299</v>
      </c>
      <c r="R25" s="15" t="s">
        <v>71</v>
      </c>
      <c r="S25" s="15"/>
      <c r="T25" s="15"/>
      <c r="U25" s="15"/>
      <c r="V25" s="92">
        <v>8925</v>
      </c>
      <c r="X25" s="70" t="s">
        <v>278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314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251</v>
      </c>
      <c r="I26" s="30" t="s">
        <v>256</v>
      </c>
      <c r="J26" s="30" t="s">
        <v>269</v>
      </c>
      <c r="K26" s="30" t="s">
        <v>31</v>
      </c>
      <c r="L26" s="15" t="s">
        <v>271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272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246</v>
      </c>
      <c r="I27" s="30" t="s">
        <v>300</v>
      </c>
      <c r="J27" s="30" t="s">
        <v>248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267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315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264</v>
      </c>
      <c r="E28" s="30" t="s">
        <v>45</v>
      </c>
      <c r="F28" s="30">
        <v>3</v>
      </c>
      <c r="G28" s="30">
        <v>1</v>
      </c>
      <c r="H28" s="30" t="s">
        <v>258</v>
      </c>
      <c r="I28" s="30" t="s">
        <v>250</v>
      </c>
      <c r="J28" s="30" t="s">
        <v>259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219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316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246</v>
      </c>
      <c r="I29" s="30" t="s">
        <v>254</v>
      </c>
      <c r="J29" s="30" t="s">
        <v>314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317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304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245</v>
      </c>
      <c r="E30" s="30" t="s">
        <v>49</v>
      </c>
      <c r="F30" s="30">
        <v>2</v>
      </c>
      <c r="G30" s="30">
        <v>1</v>
      </c>
      <c r="H30" s="30" t="s">
        <v>251</v>
      </c>
      <c r="I30" s="30" t="s">
        <v>252</v>
      </c>
      <c r="J30" s="30" t="s">
        <v>269</v>
      </c>
      <c r="K30" s="30" t="s">
        <v>31</v>
      </c>
      <c r="L30" s="15" t="s">
        <v>270</v>
      </c>
      <c r="M30" s="15" t="s">
        <v>277</v>
      </c>
      <c r="N30" s="15"/>
      <c r="O30" s="15"/>
      <c r="P30" s="15"/>
      <c r="Q30" s="15" t="s">
        <v>280</v>
      </c>
      <c r="R30" s="15" t="s">
        <v>170</v>
      </c>
      <c r="S30" s="15"/>
      <c r="T30" s="15"/>
      <c r="U30" s="15"/>
      <c r="V30" s="54"/>
      <c r="X30" s="71" t="s">
        <v>176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246</v>
      </c>
      <c r="I31" s="30" t="s">
        <v>247</v>
      </c>
      <c r="J31" s="30" t="s">
        <v>248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277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72</v>
      </c>
      <c r="E32" s="30" t="s">
        <v>45</v>
      </c>
      <c r="F32" s="30">
        <v>2</v>
      </c>
      <c r="G32" s="30">
        <v>1</v>
      </c>
      <c r="H32" s="30" t="s">
        <v>251</v>
      </c>
      <c r="I32" s="30" t="s">
        <v>261</v>
      </c>
      <c r="J32" s="30" t="s">
        <v>262</v>
      </c>
      <c r="K32" s="30" t="s">
        <v>31</v>
      </c>
      <c r="L32" s="15" t="s">
        <v>74</v>
      </c>
      <c r="M32" s="15" t="s">
        <v>299</v>
      </c>
      <c r="N32" s="15"/>
      <c r="O32" s="15"/>
      <c r="P32" s="15"/>
      <c r="Q32" s="15" t="s">
        <v>169</v>
      </c>
      <c r="R32" s="15" t="s">
        <v>170</v>
      </c>
      <c r="S32" s="15"/>
      <c r="T32" s="15"/>
      <c r="U32" s="15"/>
      <c r="V32" s="92">
        <v>8433</v>
      </c>
      <c r="X32" s="71" t="s">
        <v>188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258</v>
      </c>
      <c r="I33" s="30" t="s">
        <v>308</v>
      </c>
      <c r="J33" s="30" t="s">
        <v>272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170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72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140</v>
      </c>
      <c r="E34" s="30" t="s">
        <v>45</v>
      </c>
      <c r="F34" s="30">
        <v>2</v>
      </c>
      <c r="G34" s="30">
        <v>0</v>
      </c>
      <c r="H34" s="30" t="s">
        <v>251</v>
      </c>
      <c r="I34" s="30" t="s">
        <v>261</v>
      </c>
      <c r="J34" s="30" t="s">
        <v>315</v>
      </c>
      <c r="K34" s="30" t="s">
        <v>31</v>
      </c>
      <c r="L34" s="15" t="s">
        <v>46</v>
      </c>
      <c r="M34" s="15" t="s">
        <v>270</v>
      </c>
      <c r="N34" s="15"/>
      <c r="O34" s="15"/>
      <c r="P34" s="15"/>
      <c r="Q34" s="15"/>
      <c r="R34" s="15" t="s">
        <v>278</v>
      </c>
      <c r="S34" s="15"/>
      <c r="T34" s="15"/>
      <c r="U34" s="15"/>
      <c r="V34" s="92">
        <v>15040</v>
      </c>
      <c r="X34" s="71" t="s">
        <v>279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246</v>
      </c>
      <c r="I35" s="30" t="s">
        <v>300</v>
      </c>
      <c r="J35" s="30" t="s">
        <v>248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245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251</v>
      </c>
      <c r="I36" s="24" t="s">
        <v>261</v>
      </c>
      <c r="J36" s="24" t="s">
        <v>253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177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246</v>
      </c>
      <c r="I37" s="24" t="s">
        <v>300</v>
      </c>
      <c r="J37" s="24" t="s">
        <v>248</v>
      </c>
      <c r="K37" s="24" t="s">
        <v>31</v>
      </c>
      <c r="L37" s="58" t="s">
        <v>267</v>
      </c>
      <c r="M37" s="58" t="s">
        <v>154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264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251</v>
      </c>
      <c r="I38" s="24" t="s">
        <v>261</v>
      </c>
      <c r="J38" s="24" t="s">
        <v>262</v>
      </c>
      <c r="K38" s="24" t="s">
        <v>32</v>
      </c>
      <c r="L38" s="107" t="s">
        <v>169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140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246</v>
      </c>
      <c r="I39" s="24" t="s">
        <v>300</v>
      </c>
      <c r="J39" s="24" t="s">
        <v>248</v>
      </c>
      <c r="K39" s="24" t="s">
        <v>31</v>
      </c>
      <c r="L39" s="58" t="s">
        <v>54</v>
      </c>
      <c r="M39" s="58" t="s">
        <v>109</v>
      </c>
      <c r="N39" s="58" t="s">
        <v>277</v>
      </c>
      <c r="O39" s="58"/>
      <c r="P39" s="58"/>
      <c r="Q39" s="58" t="s">
        <v>267</v>
      </c>
      <c r="R39" s="58" t="s">
        <v>299</v>
      </c>
      <c r="S39" s="58" t="s">
        <v>141</v>
      </c>
      <c r="T39" s="58"/>
      <c r="U39" s="58"/>
      <c r="V39" s="93">
        <v>7601</v>
      </c>
      <c r="X39" s="68" t="s">
        <v>178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264</v>
      </c>
      <c r="E40" s="37" t="s">
        <v>49</v>
      </c>
      <c r="F40" s="37">
        <v>1</v>
      </c>
      <c r="G40" s="37">
        <v>2</v>
      </c>
      <c r="H40" s="37" t="s">
        <v>258</v>
      </c>
      <c r="I40" s="37" t="s">
        <v>250</v>
      </c>
      <c r="J40" s="37" t="s">
        <v>259</v>
      </c>
      <c r="K40" s="37" t="s">
        <v>33</v>
      </c>
      <c r="L40" s="64" t="s">
        <v>299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283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318</v>
      </c>
      <c r="B41" s="122">
        <v>45160</v>
      </c>
      <c r="C41" s="101" t="s">
        <v>319</v>
      </c>
      <c r="D41" s="101" t="s">
        <v>320</v>
      </c>
      <c r="E41" s="101" t="s">
        <v>45</v>
      </c>
      <c r="F41" s="101">
        <v>3</v>
      </c>
      <c r="G41" s="101">
        <v>1</v>
      </c>
      <c r="H41" s="101" t="s">
        <v>251</v>
      </c>
      <c r="I41" s="101" t="s">
        <v>256</v>
      </c>
      <c r="J41" s="101" t="s">
        <v>253</v>
      </c>
      <c r="K41" s="101" t="s">
        <v>31</v>
      </c>
      <c r="L41" s="123" t="s">
        <v>270</v>
      </c>
      <c r="M41" s="123" t="s">
        <v>299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318</v>
      </c>
      <c r="AD41" s="2" t="s">
        <v>320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321</v>
      </c>
      <c r="B42" s="108">
        <v>45188</v>
      </c>
      <c r="C42" s="73">
        <v>1</v>
      </c>
      <c r="D42" s="73" t="s">
        <v>322</v>
      </c>
      <c r="E42" s="73" t="s">
        <v>49</v>
      </c>
      <c r="F42" s="73">
        <v>4</v>
      </c>
      <c r="G42" s="73">
        <v>2</v>
      </c>
      <c r="H42" s="73" t="s">
        <v>302</v>
      </c>
      <c r="I42" s="73" t="s">
        <v>309</v>
      </c>
      <c r="J42" s="73" t="s">
        <v>304</v>
      </c>
      <c r="K42" s="73" t="s">
        <v>31</v>
      </c>
      <c r="L42" s="76" t="s">
        <v>313</v>
      </c>
      <c r="M42" s="76" t="s">
        <v>71</v>
      </c>
      <c r="N42" s="76" t="s">
        <v>299</v>
      </c>
      <c r="O42" s="76" t="s">
        <v>299</v>
      </c>
      <c r="P42" s="76"/>
      <c r="Q42" s="76"/>
      <c r="R42" s="76" t="s">
        <v>169</v>
      </c>
      <c r="S42" s="76" t="s">
        <v>271</v>
      </c>
      <c r="T42" s="76" t="s">
        <v>271</v>
      </c>
      <c r="U42" s="76"/>
      <c r="V42" s="77"/>
      <c r="AC42" s="2" t="s">
        <v>321</v>
      </c>
      <c r="AD42" s="2" t="s">
        <v>322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321</v>
      </c>
      <c r="B43" s="108">
        <v>45202</v>
      </c>
      <c r="C43" s="73">
        <v>2</v>
      </c>
      <c r="D43" s="73" t="s">
        <v>323</v>
      </c>
      <c r="E43" s="73" t="s">
        <v>45</v>
      </c>
      <c r="F43" s="73">
        <v>4</v>
      </c>
      <c r="G43" s="73">
        <v>0</v>
      </c>
      <c r="H43" s="73" t="s">
        <v>302</v>
      </c>
      <c r="I43" s="73" t="s">
        <v>309</v>
      </c>
      <c r="J43" s="73" t="s">
        <v>304</v>
      </c>
      <c r="K43" s="73" t="s">
        <v>31</v>
      </c>
      <c r="L43" s="76" t="s">
        <v>46</v>
      </c>
      <c r="M43" s="76" t="s">
        <v>46</v>
      </c>
      <c r="N43" s="76" t="s">
        <v>299</v>
      </c>
      <c r="O43" s="76" t="s">
        <v>271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321</v>
      </c>
      <c r="AD43" s="2" t="s">
        <v>324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321</v>
      </c>
      <c r="B44" s="108">
        <v>45224</v>
      </c>
      <c r="C44" s="73">
        <v>3</v>
      </c>
      <c r="D44" s="73" t="s">
        <v>324</v>
      </c>
      <c r="E44" s="73" t="s">
        <v>45</v>
      </c>
      <c r="F44" s="73">
        <v>0</v>
      </c>
      <c r="G44" s="73">
        <v>2</v>
      </c>
      <c r="H44" s="73" t="s">
        <v>302</v>
      </c>
      <c r="I44" s="73" t="s">
        <v>310</v>
      </c>
      <c r="J44" s="73" t="s">
        <v>316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321</v>
      </c>
      <c r="AD44" s="2" t="s">
        <v>323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321</v>
      </c>
      <c r="B45" s="108">
        <v>45237</v>
      </c>
      <c r="C45" s="73">
        <v>4</v>
      </c>
      <c r="D45" s="73" t="s">
        <v>324</v>
      </c>
      <c r="E45" s="73" t="s">
        <v>49</v>
      </c>
      <c r="F45" s="73">
        <v>1</v>
      </c>
      <c r="G45" s="73">
        <v>3</v>
      </c>
      <c r="H45" s="73" t="s">
        <v>302</v>
      </c>
      <c r="I45" s="73" t="s">
        <v>305</v>
      </c>
      <c r="J45" s="73" t="s">
        <v>304</v>
      </c>
      <c r="K45" s="73" t="s">
        <v>33</v>
      </c>
      <c r="L45" s="76" t="s">
        <v>169</v>
      </c>
      <c r="M45" s="76"/>
      <c r="N45" s="76"/>
      <c r="O45" s="76"/>
      <c r="P45" s="76"/>
      <c r="Q45" s="76" t="s">
        <v>154</v>
      </c>
      <c r="R45" s="76"/>
      <c r="S45" s="76"/>
      <c r="T45" s="76"/>
      <c r="U45" s="76"/>
      <c r="V45" s="77"/>
      <c r="AC45" s="2" t="s">
        <v>113</v>
      </c>
      <c r="AD45" s="2" t="s">
        <v>137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321</v>
      </c>
      <c r="B46" s="108">
        <v>45258</v>
      </c>
      <c r="C46" s="73">
        <v>5</v>
      </c>
      <c r="D46" s="73" t="s">
        <v>322</v>
      </c>
      <c r="E46" s="73" t="s">
        <v>45</v>
      </c>
      <c r="F46" s="73">
        <v>2</v>
      </c>
      <c r="G46" s="73">
        <v>1</v>
      </c>
      <c r="H46" s="73" t="s">
        <v>302</v>
      </c>
      <c r="I46" s="73" t="s">
        <v>311</v>
      </c>
      <c r="J46" s="73" t="s">
        <v>316</v>
      </c>
      <c r="K46" s="73" t="s">
        <v>31</v>
      </c>
      <c r="L46" s="76" t="s">
        <v>109</v>
      </c>
      <c r="M46" s="76" t="s">
        <v>299</v>
      </c>
      <c r="N46" s="76"/>
      <c r="O46" s="76"/>
      <c r="P46" s="76"/>
      <c r="Q46" s="76"/>
      <c r="R46" s="76" t="s">
        <v>141</v>
      </c>
      <c r="S46" s="76"/>
      <c r="T46" s="76"/>
      <c r="U46" s="76"/>
      <c r="V46" s="94">
        <v>5712</v>
      </c>
      <c r="AC46" s="2" t="s">
        <v>113</v>
      </c>
      <c r="AD46" s="2" t="s">
        <v>140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321</v>
      </c>
      <c r="B47" s="125">
        <v>45273</v>
      </c>
      <c r="C47" s="102">
        <v>6</v>
      </c>
      <c r="D47" s="102" t="s">
        <v>323</v>
      </c>
      <c r="E47" s="102" t="s">
        <v>49</v>
      </c>
      <c r="F47" s="102">
        <v>3</v>
      </c>
      <c r="G47" s="102">
        <v>1</v>
      </c>
      <c r="H47" s="102" t="s">
        <v>302</v>
      </c>
      <c r="I47" s="102"/>
      <c r="J47" s="102"/>
      <c r="K47" s="102" t="s">
        <v>31</v>
      </c>
      <c r="L47" s="126" t="s">
        <v>54</v>
      </c>
      <c r="M47" s="126" t="s">
        <v>267</v>
      </c>
      <c r="N47" s="126" t="s">
        <v>169</v>
      </c>
      <c r="O47" s="126"/>
      <c r="P47" s="126"/>
      <c r="Q47" s="126" t="s">
        <v>109</v>
      </c>
      <c r="R47" s="126" t="s">
        <v>271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126</v>
      </c>
      <c r="D48" s="103" t="s">
        <v>137</v>
      </c>
      <c r="E48" s="103" t="s">
        <v>45</v>
      </c>
      <c r="F48" s="103">
        <v>3</v>
      </c>
      <c r="G48" s="103">
        <v>0</v>
      </c>
      <c r="H48" s="103" t="s">
        <v>303</v>
      </c>
      <c r="I48" s="103"/>
      <c r="J48" s="103"/>
      <c r="K48" s="103" t="s">
        <v>31</v>
      </c>
      <c r="L48" s="129" t="s">
        <v>271</v>
      </c>
      <c r="M48" s="129" t="s">
        <v>109</v>
      </c>
      <c r="N48" s="129" t="s">
        <v>278</v>
      </c>
      <c r="O48" s="129"/>
      <c r="P48" s="129"/>
      <c r="Q48" s="129" t="s">
        <v>169</v>
      </c>
      <c r="R48" s="129" t="s">
        <v>110</v>
      </c>
      <c r="S48" s="129" t="s">
        <v>141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127</v>
      </c>
      <c r="D49" s="90" t="s">
        <v>140</v>
      </c>
      <c r="E49" s="90" t="s">
        <v>45</v>
      </c>
      <c r="F49" s="90">
        <v>3</v>
      </c>
      <c r="G49" s="90">
        <v>2</v>
      </c>
      <c r="H49" s="90" t="s">
        <v>303</v>
      </c>
      <c r="I49" s="90"/>
      <c r="J49" s="90"/>
      <c r="K49" s="90" t="s">
        <v>31</v>
      </c>
      <c r="L49" s="91" t="s">
        <v>299</v>
      </c>
      <c r="M49" s="91" t="s">
        <v>270</v>
      </c>
      <c r="N49" s="91" t="s">
        <v>270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128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251</v>
      </c>
      <c r="I50" s="104" t="s">
        <v>252</v>
      </c>
      <c r="J50" s="104" t="s">
        <v>253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325</v>
      </c>
    </row>
    <row r="52" spans="1:22">
      <c r="L52" s="6" t="s">
        <v>2</v>
      </c>
      <c r="M52" s="6" t="s">
        <v>121</v>
      </c>
      <c r="N52" s="6" t="s">
        <v>122</v>
      </c>
      <c r="O52" s="6" t="s">
        <v>286</v>
      </c>
      <c r="P52" s="58" t="s">
        <v>122</v>
      </c>
      <c r="Q52" s="58" t="s">
        <v>286</v>
      </c>
      <c r="R52" s="6" t="s">
        <v>287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321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136</v>
      </c>
      <c r="AJ2" s="4" t="s">
        <v>244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136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246</v>
      </c>
      <c r="H3" s="30" t="s">
        <v>254</v>
      </c>
      <c r="I3" s="30" t="s">
        <v>248</v>
      </c>
      <c r="J3" s="40" t="s">
        <v>33</v>
      </c>
      <c r="K3" s="53" t="s">
        <v>277</v>
      </c>
      <c r="L3" s="15"/>
      <c r="M3" s="54"/>
      <c r="N3" s="141"/>
      <c r="O3" s="56"/>
      <c r="P3" s="54"/>
      <c r="S3" s="72" t="s">
        <v>299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249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250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246</v>
      </c>
      <c r="H4" s="30" t="s">
        <v>300</v>
      </c>
      <c r="I4" s="30" t="s">
        <v>248</v>
      </c>
      <c r="J4" s="40" t="s">
        <v>32</v>
      </c>
      <c r="K4" s="53" t="s">
        <v>74</v>
      </c>
      <c r="L4" s="15" t="s">
        <v>299</v>
      </c>
      <c r="M4" s="54" t="s">
        <v>271</v>
      </c>
      <c r="N4" s="141"/>
      <c r="O4" s="56" t="s">
        <v>260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251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301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72</v>
      </c>
      <c r="D5" s="30" t="s">
        <v>45</v>
      </c>
      <c r="E5" s="30">
        <v>1</v>
      </c>
      <c r="F5" s="30">
        <v>0</v>
      </c>
      <c r="G5" s="30" t="s">
        <v>251</v>
      </c>
      <c r="H5" s="30" t="s">
        <v>252</v>
      </c>
      <c r="I5" s="30" t="s">
        <v>262</v>
      </c>
      <c r="J5" s="40" t="s">
        <v>31</v>
      </c>
      <c r="K5" s="53" t="s">
        <v>71</v>
      </c>
      <c r="L5" s="15"/>
      <c r="M5" s="54"/>
      <c r="N5" s="141" t="s">
        <v>299</v>
      </c>
      <c r="O5" s="56"/>
      <c r="P5" s="54"/>
      <c r="S5" s="72" t="s">
        <v>271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255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300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258</v>
      </c>
      <c r="H6" s="30" t="s">
        <v>250</v>
      </c>
      <c r="I6" s="30" t="s">
        <v>259</v>
      </c>
      <c r="J6" s="40" t="s">
        <v>33</v>
      </c>
      <c r="K6" s="53"/>
      <c r="L6" s="15"/>
      <c r="M6" s="54"/>
      <c r="N6" s="141"/>
      <c r="O6" s="56"/>
      <c r="P6" s="54"/>
      <c r="S6" s="72" t="s">
        <v>141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254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264</v>
      </c>
      <c r="D7" s="30" t="s">
        <v>45</v>
      </c>
      <c r="E7" s="30">
        <v>0</v>
      </c>
      <c r="F7" s="30">
        <v>0</v>
      </c>
      <c r="G7" s="30" t="s">
        <v>251</v>
      </c>
      <c r="H7" s="30" t="s">
        <v>252</v>
      </c>
      <c r="I7" s="30" t="s">
        <v>262</v>
      </c>
      <c r="J7" s="40" t="s">
        <v>32</v>
      </c>
      <c r="K7" s="53"/>
      <c r="L7" s="15"/>
      <c r="M7" s="54"/>
      <c r="N7" s="141"/>
      <c r="O7" s="56"/>
      <c r="P7" s="54"/>
      <c r="S7" s="72" t="s">
        <v>270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136</v>
      </c>
      <c r="AJ7" s="20" t="s">
        <v>256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251</v>
      </c>
      <c r="H8" s="30" t="s">
        <v>256</v>
      </c>
      <c r="I8" s="30" t="s">
        <v>269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249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252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258</v>
      </c>
      <c r="H9" s="30" t="s">
        <v>250</v>
      </c>
      <c r="I9" s="30" t="s">
        <v>259</v>
      </c>
      <c r="J9" s="40" t="s">
        <v>31</v>
      </c>
      <c r="K9" s="53" t="s">
        <v>280</v>
      </c>
      <c r="L9" s="15" t="s">
        <v>299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251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247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245</v>
      </c>
      <c r="D10" s="30" t="s">
        <v>45</v>
      </c>
      <c r="E10" s="30">
        <v>2</v>
      </c>
      <c r="F10" s="30">
        <v>2</v>
      </c>
      <c r="G10" s="30" t="s">
        <v>246</v>
      </c>
      <c r="H10" s="30" t="s">
        <v>247</v>
      </c>
      <c r="I10" s="30" t="s">
        <v>304</v>
      </c>
      <c r="J10" s="40" t="s">
        <v>32</v>
      </c>
      <c r="K10" s="53" t="s">
        <v>270</v>
      </c>
      <c r="L10" s="15" t="s">
        <v>270</v>
      </c>
      <c r="M10" s="54"/>
      <c r="N10" s="141" t="s">
        <v>299</v>
      </c>
      <c r="O10" s="56" t="s">
        <v>110</v>
      </c>
      <c r="P10" s="54"/>
      <c r="S10" s="72" t="s">
        <v>154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255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305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251</v>
      </c>
      <c r="H11" s="30" t="s">
        <v>256</v>
      </c>
      <c r="I11" s="30" t="s">
        <v>253</v>
      </c>
      <c r="J11" s="40" t="s">
        <v>33</v>
      </c>
      <c r="K11" s="53"/>
      <c r="L11" s="15"/>
      <c r="M11" s="54"/>
      <c r="N11" s="141"/>
      <c r="O11" s="56"/>
      <c r="P11" s="54"/>
      <c r="S11" s="72" t="s">
        <v>306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307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251</v>
      </c>
      <c r="H12" s="30" t="s">
        <v>256</v>
      </c>
      <c r="I12" s="30" t="s">
        <v>262</v>
      </c>
      <c r="J12" s="40" t="s">
        <v>31</v>
      </c>
      <c r="K12" s="53" t="s">
        <v>93</v>
      </c>
      <c r="L12" s="15" t="s">
        <v>270</v>
      </c>
      <c r="M12" s="54"/>
      <c r="N12" s="141" t="s">
        <v>141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136</v>
      </c>
      <c r="AJ12" s="20" t="s">
        <v>261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140</v>
      </c>
      <c r="D13" s="30" t="s">
        <v>45</v>
      </c>
      <c r="E13" s="30">
        <v>0</v>
      </c>
      <c r="F13" s="30">
        <v>1</v>
      </c>
      <c r="G13" s="30" t="s">
        <v>246</v>
      </c>
      <c r="H13" s="30" t="s">
        <v>307</v>
      </c>
      <c r="I13" s="30" t="s">
        <v>248</v>
      </c>
      <c r="J13" s="40" t="s">
        <v>33</v>
      </c>
      <c r="K13" s="53"/>
      <c r="L13" s="15"/>
      <c r="M13" s="54"/>
      <c r="N13" s="141"/>
      <c r="O13" s="56"/>
      <c r="P13" s="54"/>
      <c r="S13" s="72" t="s">
        <v>268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249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308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72</v>
      </c>
      <c r="D14" s="24" t="s">
        <v>49</v>
      </c>
      <c r="E14" s="24">
        <v>0</v>
      </c>
      <c r="F14" s="24">
        <v>2</v>
      </c>
      <c r="G14" s="24" t="s">
        <v>258</v>
      </c>
      <c r="H14" s="24" t="s">
        <v>256</v>
      </c>
      <c r="I14" s="24" t="s">
        <v>253</v>
      </c>
      <c r="J14" s="41" t="s">
        <v>33</v>
      </c>
      <c r="K14" s="57"/>
      <c r="L14" s="58"/>
      <c r="M14" s="59"/>
      <c r="N14" s="142"/>
      <c r="O14" s="61"/>
      <c r="P14" s="59"/>
      <c r="S14" s="83" t="s">
        <v>260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251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136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246</v>
      </c>
      <c r="H15" s="24" t="s">
        <v>300</v>
      </c>
      <c r="I15" s="24" t="s">
        <v>248</v>
      </c>
      <c r="J15" s="41" t="s">
        <v>32</v>
      </c>
      <c r="K15" s="57"/>
      <c r="L15" s="58"/>
      <c r="M15" s="59"/>
      <c r="N15" s="142"/>
      <c r="O15" s="61"/>
      <c r="P15" s="59"/>
      <c r="S15" s="83" t="s">
        <v>263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255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259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251</v>
      </c>
      <c r="H16" s="24" t="s">
        <v>256</v>
      </c>
      <c r="I16" s="24" t="s">
        <v>253</v>
      </c>
      <c r="J16" s="41" t="s">
        <v>32</v>
      </c>
      <c r="K16" s="57" t="s">
        <v>279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262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264</v>
      </c>
      <c r="D17" s="24" t="s">
        <v>49</v>
      </c>
      <c r="E17" s="24">
        <v>2</v>
      </c>
      <c r="F17" s="24">
        <v>2</v>
      </c>
      <c r="G17" s="24" t="s">
        <v>246</v>
      </c>
      <c r="H17" s="24" t="s">
        <v>300</v>
      </c>
      <c r="I17" s="24" t="s">
        <v>248</v>
      </c>
      <c r="J17" s="41" t="s">
        <v>32</v>
      </c>
      <c r="K17" s="57" t="s">
        <v>170</v>
      </c>
      <c r="L17" s="58" t="s">
        <v>109</v>
      </c>
      <c r="M17" s="59"/>
      <c r="N17" s="142" t="s">
        <v>141</v>
      </c>
      <c r="O17" s="61" t="s">
        <v>169</v>
      </c>
      <c r="P17" s="59"/>
      <c r="S17" s="70" t="s">
        <v>169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269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251</v>
      </c>
      <c r="H18" s="24" t="s">
        <v>256</v>
      </c>
      <c r="I18" s="24" t="s">
        <v>269</v>
      </c>
      <c r="J18" s="41" t="s">
        <v>31</v>
      </c>
      <c r="K18" s="57" t="s">
        <v>271</v>
      </c>
      <c r="L18" s="58" t="s">
        <v>141</v>
      </c>
      <c r="M18" s="59" t="s">
        <v>141</v>
      </c>
      <c r="N18" s="142"/>
      <c r="O18" s="61" t="s">
        <v>271</v>
      </c>
      <c r="P18" s="59" t="s">
        <v>271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253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246</v>
      </c>
      <c r="H19" s="24" t="s">
        <v>307</v>
      </c>
      <c r="I19" s="24" t="s">
        <v>248</v>
      </c>
      <c r="J19" s="41" t="s">
        <v>32</v>
      </c>
      <c r="K19" s="57" t="s">
        <v>71</v>
      </c>
      <c r="L19" s="58"/>
      <c r="M19" s="59"/>
      <c r="N19" s="142" t="s">
        <v>141</v>
      </c>
      <c r="O19" s="61"/>
      <c r="P19" s="59"/>
      <c r="S19" s="70" t="s">
        <v>170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248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140</v>
      </c>
      <c r="D20" s="24" t="s">
        <v>49</v>
      </c>
      <c r="E20" s="24">
        <v>0</v>
      </c>
      <c r="F20" s="24">
        <v>0</v>
      </c>
      <c r="G20" s="24" t="s">
        <v>246</v>
      </c>
      <c r="H20" s="24" t="s">
        <v>247</v>
      </c>
      <c r="I20" s="24" t="s">
        <v>248</v>
      </c>
      <c r="J20" s="41" t="s">
        <v>32</v>
      </c>
      <c r="K20" s="57"/>
      <c r="L20" s="58"/>
      <c r="M20" s="59"/>
      <c r="N20" s="142"/>
      <c r="O20" s="61"/>
      <c r="P20" s="59"/>
      <c r="S20" s="70" t="s">
        <v>312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304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251</v>
      </c>
      <c r="H21" s="24" t="s">
        <v>256</v>
      </c>
      <c r="I21" s="24" t="s">
        <v>262</v>
      </c>
      <c r="J21" s="41" t="s">
        <v>33</v>
      </c>
      <c r="K21" s="57"/>
      <c r="L21" s="58"/>
      <c r="M21" s="59"/>
      <c r="N21" s="142"/>
      <c r="O21" s="61"/>
      <c r="P21" s="59"/>
      <c r="S21" s="70" t="s">
        <v>171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314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251</v>
      </c>
      <c r="H22" s="24" t="s">
        <v>252</v>
      </c>
      <c r="I22" s="24" t="s">
        <v>262</v>
      </c>
      <c r="J22" s="41" t="s">
        <v>31</v>
      </c>
      <c r="K22" s="57" t="s">
        <v>154</v>
      </c>
      <c r="L22" s="58"/>
      <c r="M22" s="59"/>
      <c r="N22" s="142" t="s">
        <v>169</v>
      </c>
      <c r="O22" s="61"/>
      <c r="P22" s="59"/>
      <c r="S22" s="70" t="s">
        <v>181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272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245</v>
      </c>
      <c r="D23" s="24" t="s">
        <v>49</v>
      </c>
      <c r="E23" s="24">
        <v>2</v>
      </c>
      <c r="F23" s="24">
        <v>2</v>
      </c>
      <c r="G23" s="24" t="s">
        <v>258</v>
      </c>
      <c r="H23" s="24" t="s">
        <v>305</v>
      </c>
      <c r="I23" s="24" t="s">
        <v>259</v>
      </c>
      <c r="J23" s="41" t="s">
        <v>32</v>
      </c>
      <c r="K23" s="57" t="s">
        <v>270</v>
      </c>
      <c r="L23" s="58" t="s">
        <v>313</v>
      </c>
      <c r="M23" s="59"/>
      <c r="N23" s="142" t="s">
        <v>280</v>
      </c>
      <c r="O23" s="61"/>
      <c r="P23" s="59"/>
      <c r="S23" s="70" t="s">
        <v>182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315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251</v>
      </c>
      <c r="H24" s="24" t="s">
        <v>301</v>
      </c>
      <c r="I24" s="24" t="s">
        <v>253</v>
      </c>
      <c r="J24" s="41" t="s">
        <v>31</v>
      </c>
      <c r="K24" s="57" t="s">
        <v>141</v>
      </c>
      <c r="L24" s="58" t="s">
        <v>299</v>
      </c>
      <c r="M24" s="59"/>
      <c r="N24" s="142" t="s">
        <v>299</v>
      </c>
      <c r="O24" s="61" t="s">
        <v>71</v>
      </c>
      <c r="P24" s="59"/>
      <c r="S24" s="70" t="s">
        <v>280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258</v>
      </c>
      <c r="H25" s="30" t="s">
        <v>301</v>
      </c>
      <c r="I25" s="30" t="s">
        <v>253</v>
      </c>
      <c r="J25" s="40" t="s">
        <v>31</v>
      </c>
      <c r="K25" s="53" t="s">
        <v>71</v>
      </c>
      <c r="L25" s="15" t="s">
        <v>299</v>
      </c>
      <c r="M25" s="54"/>
      <c r="N25" s="141" t="s">
        <v>299</v>
      </c>
      <c r="O25" s="56" t="s">
        <v>71</v>
      </c>
      <c r="P25" s="54"/>
      <c r="S25" s="70" t="s">
        <v>278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251</v>
      </c>
      <c r="H26" s="30" t="s">
        <v>256</v>
      </c>
      <c r="I26" s="30" t="s">
        <v>269</v>
      </c>
      <c r="J26" s="40" t="s">
        <v>31</v>
      </c>
      <c r="K26" s="53" t="s">
        <v>271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246</v>
      </c>
      <c r="H27" s="30" t="s">
        <v>300</v>
      </c>
      <c r="I27" s="30" t="s">
        <v>248</v>
      </c>
      <c r="J27" s="40" t="s">
        <v>33</v>
      </c>
      <c r="K27" s="53"/>
      <c r="L27" s="15"/>
      <c r="M27" s="54"/>
      <c r="N27" s="141"/>
      <c r="O27" s="56"/>
      <c r="P27" s="54"/>
      <c r="S27" s="70" t="s">
        <v>267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264</v>
      </c>
      <c r="D28" s="30" t="s">
        <v>45</v>
      </c>
      <c r="E28" s="30">
        <v>3</v>
      </c>
      <c r="F28" s="30">
        <v>1</v>
      </c>
      <c r="G28" s="30" t="s">
        <v>258</v>
      </c>
      <c r="H28" s="30" t="s">
        <v>250</v>
      </c>
      <c r="I28" s="30" t="s">
        <v>259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219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246</v>
      </c>
      <c r="H29" s="30" t="s">
        <v>254</v>
      </c>
      <c r="I29" s="30" t="s">
        <v>314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317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245</v>
      </c>
      <c r="D30" s="30" t="s">
        <v>49</v>
      </c>
      <c r="E30" s="30">
        <v>2</v>
      </c>
      <c r="F30" s="30">
        <v>1</v>
      </c>
      <c r="G30" s="30" t="s">
        <v>251</v>
      </c>
      <c r="H30" s="30" t="s">
        <v>252</v>
      </c>
      <c r="I30" s="30" t="s">
        <v>269</v>
      </c>
      <c r="J30" s="40" t="s">
        <v>31</v>
      </c>
      <c r="K30" s="53" t="s">
        <v>270</v>
      </c>
      <c r="L30" s="15" t="s">
        <v>277</v>
      </c>
      <c r="M30" s="54"/>
      <c r="N30" s="141" t="s">
        <v>280</v>
      </c>
      <c r="O30" s="56" t="s">
        <v>170</v>
      </c>
      <c r="P30" s="54"/>
      <c r="S30" s="71" t="s">
        <v>176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246</v>
      </c>
      <c r="H31" s="30" t="s">
        <v>247</v>
      </c>
      <c r="I31" s="30" t="s">
        <v>248</v>
      </c>
      <c r="J31" s="40" t="s">
        <v>33</v>
      </c>
      <c r="K31" s="53"/>
      <c r="L31" s="15"/>
      <c r="M31" s="54"/>
      <c r="N31" s="141"/>
      <c r="O31" s="56"/>
      <c r="P31" s="54"/>
      <c r="S31" s="71" t="s">
        <v>277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72</v>
      </c>
      <c r="D32" s="30" t="s">
        <v>45</v>
      </c>
      <c r="E32" s="30">
        <v>2</v>
      </c>
      <c r="F32" s="30">
        <v>1</v>
      </c>
      <c r="G32" s="30" t="s">
        <v>251</v>
      </c>
      <c r="H32" s="30" t="s">
        <v>261</v>
      </c>
      <c r="I32" s="30" t="s">
        <v>262</v>
      </c>
      <c r="J32" s="40" t="s">
        <v>31</v>
      </c>
      <c r="K32" s="53" t="s">
        <v>74</v>
      </c>
      <c r="L32" s="15" t="s">
        <v>299</v>
      </c>
      <c r="M32" s="54"/>
      <c r="N32" s="141" t="s">
        <v>169</v>
      </c>
      <c r="O32" s="56" t="s">
        <v>170</v>
      </c>
      <c r="P32" s="54"/>
      <c r="S32" s="71" t="s">
        <v>188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258</v>
      </c>
      <c r="H33" s="30" t="s">
        <v>308</v>
      </c>
      <c r="I33" s="30" t="s">
        <v>272</v>
      </c>
      <c r="J33" s="40" t="s">
        <v>32</v>
      </c>
      <c r="K33" s="53" t="s">
        <v>46</v>
      </c>
      <c r="L33" s="15"/>
      <c r="M33" s="54"/>
      <c r="N33" s="141" t="s">
        <v>170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72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140</v>
      </c>
      <c r="D34" s="30" t="s">
        <v>45</v>
      </c>
      <c r="E34" s="30">
        <v>2</v>
      </c>
      <c r="F34" s="30">
        <v>0</v>
      </c>
      <c r="G34" s="30" t="s">
        <v>251</v>
      </c>
      <c r="H34" s="30" t="s">
        <v>261</v>
      </c>
      <c r="I34" s="30" t="s">
        <v>315</v>
      </c>
      <c r="J34" s="40" t="s">
        <v>31</v>
      </c>
      <c r="K34" s="53" t="s">
        <v>46</v>
      </c>
      <c r="L34" s="15" t="s">
        <v>270</v>
      </c>
      <c r="M34" s="54"/>
      <c r="N34" s="141"/>
      <c r="O34" s="56" t="s">
        <v>278</v>
      </c>
      <c r="P34" s="54"/>
      <c r="S34" s="71" t="s">
        <v>279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246</v>
      </c>
      <c r="H35" s="30" t="s">
        <v>300</v>
      </c>
      <c r="I35" s="30" t="s">
        <v>248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245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251</v>
      </c>
      <c r="H36" s="24" t="s">
        <v>261</v>
      </c>
      <c r="I36" s="24" t="s">
        <v>253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177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246</v>
      </c>
      <c r="H37" s="24" t="s">
        <v>300</v>
      </c>
      <c r="I37" s="24" t="s">
        <v>248</v>
      </c>
      <c r="J37" s="41" t="s">
        <v>31</v>
      </c>
      <c r="K37" s="57" t="s">
        <v>267</v>
      </c>
      <c r="L37" s="58" t="s">
        <v>154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264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251</v>
      </c>
      <c r="H38" s="24" t="s">
        <v>261</v>
      </c>
      <c r="I38" s="24" t="s">
        <v>262</v>
      </c>
      <c r="J38" s="41" t="s">
        <v>32</v>
      </c>
      <c r="K38" s="62" t="s">
        <v>169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140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246</v>
      </c>
      <c r="H39" s="24" t="s">
        <v>300</v>
      </c>
      <c r="I39" s="24" t="s">
        <v>248</v>
      </c>
      <c r="J39" s="41" t="s">
        <v>31</v>
      </c>
      <c r="K39" s="57" t="s">
        <v>54</v>
      </c>
      <c r="L39" s="58" t="s">
        <v>109</v>
      </c>
      <c r="M39" s="59" t="s">
        <v>277</v>
      </c>
      <c r="N39" s="143" t="s">
        <v>267</v>
      </c>
      <c r="O39" s="58" t="s">
        <v>299</v>
      </c>
      <c r="P39" s="59" t="s">
        <v>141</v>
      </c>
      <c r="S39" s="68" t="s">
        <v>178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264</v>
      </c>
      <c r="D40" s="37" t="s">
        <v>49</v>
      </c>
      <c r="E40" s="37">
        <v>1</v>
      </c>
      <c r="F40" s="37">
        <v>2</v>
      </c>
      <c r="G40" s="37" t="s">
        <v>258</v>
      </c>
      <c r="H40" s="37" t="s">
        <v>250</v>
      </c>
      <c r="I40" s="37" t="s">
        <v>259</v>
      </c>
      <c r="J40" s="42" t="s">
        <v>33</v>
      </c>
      <c r="K40" s="63" t="s">
        <v>299</v>
      </c>
      <c r="L40" s="64"/>
      <c r="M40" s="65"/>
      <c r="N40" s="144" t="s">
        <v>109</v>
      </c>
      <c r="O40" s="67"/>
      <c r="P40" s="65"/>
      <c r="S40" s="69" t="s">
        <v>283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136</v>
      </c>
      <c r="AN2" s="4" t="s">
        <v>244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136</v>
      </c>
    </row>
    <row r="3" spans="1:47">
      <c r="A3" s="49">
        <v>45160</v>
      </c>
      <c r="B3" s="30" t="s">
        <v>319</v>
      </c>
      <c r="C3" s="30" t="s">
        <v>320</v>
      </c>
      <c r="D3" s="30" t="s">
        <v>45</v>
      </c>
      <c r="E3" s="30">
        <v>3</v>
      </c>
      <c r="F3" s="30">
        <v>1</v>
      </c>
      <c r="G3" s="30" t="s">
        <v>251</v>
      </c>
      <c r="H3" s="30" t="s">
        <v>256</v>
      </c>
      <c r="I3" s="30" t="s">
        <v>253</v>
      </c>
      <c r="J3" s="40" t="s">
        <v>31</v>
      </c>
      <c r="K3" s="53" t="s">
        <v>270</v>
      </c>
      <c r="L3" s="15" t="s">
        <v>299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299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302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310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322</v>
      </c>
      <c r="D4" s="30" t="s">
        <v>49</v>
      </c>
      <c r="E4" s="30">
        <v>4</v>
      </c>
      <c r="F4" s="30">
        <v>2</v>
      </c>
      <c r="G4" s="30" t="s">
        <v>302</v>
      </c>
      <c r="H4" s="30" t="s">
        <v>309</v>
      </c>
      <c r="I4" s="30" t="s">
        <v>304</v>
      </c>
      <c r="J4" s="40" t="s">
        <v>31</v>
      </c>
      <c r="K4" s="53" t="s">
        <v>313</v>
      </c>
      <c r="L4" s="15" t="s">
        <v>71</v>
      </c>
      <c r="M4" s="15" t="s">
        <v>299</v>
      </c>
      <c r="N4" s="15" t="s">
        <v>299</v>
      </c>
      <c r="O4" s="54"/>
      <c r="P4" s="56"/>
      <c r="Q4" s="56" t="s">
        <v>169</v>
      </c>
      <c r="R4" s="56" t="s">
        <v>271</v>
      </c>
      <c r="S4" s="56" t="s">
        <v>271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251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309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323</v>
      </c>
      <c r="D5" s="30" t="s">
        <v>45</v>
      </c>
      <c r="E5" s="30">
        <v>4</v>
      </c>
      <c r="F5" s="30">
        <v>0</v>
      </c>
      <c r="G5" s="30" t="s">
        <v>302</v>
      </c>
      <c r="H5" s="30" t="s">
        <v>309</v>
      </c>
      <c r="I5" s="30" t="s">
        <v>304</v>
      </c>
      <c r="J5" s="40" t="s">
        <v>31</v>
      </c>
      <c r="K5" s="53" t="s">
        <v>46</v>
      </c>
      <c r="L5" s="15" t="s">
        <v>46</v>
      </c>
      <c r="M5" s="15" t="s">
        <v>299</v>
      </c>
      <c r="N5" s="15" t="s">
        <v>271</v>
      </c>
      <c r="O5" s="54"/>
      <c r="P5" s="55" t="s">
        <v>110</v>
      </c>
      <c r="Q5" s="56"/>
      <c r="R5" s="56" t="s">
        <v>71</v>
      </c>
      <c r="S5" s="56"/>
      <c r="T5" s="54"/>
      <c r="W5" s="72" t="s">
        <v>271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256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324</v>
      </c>
      <c r="D6" s="30" t="s">
        <v>45</v>
      </c>
      <c r="E6" s="30">
        <v>0</v>
      </c>
      <c r="F6" s="30">
        <v>2</v>
      </c>
      <c r="G6" s="30" t="s">
        <v>302</v>
      </c>
      <c r="H6" s="30" t="s">
        <v>310</v>
      </c>
      <c r="I6" s="30" t="s">
        <v>316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141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324</v>
      </c>
      <c r="D7" s="30" t="s">
        <v>49</v>
      </c>
      <c r="E7" s="30">
        <v>1</v>
      </c>
      <c r="F7" s="30">
        <v>3</v>
      </c>
      <c r="G7" s="30" t="s">
        <v>302</v>
      </c>
      <c r="H7" s="30"/>
      <c r="I7" s="30" t="s">
        <v>304</v>
      </c>
      <c r="J7" s="40" t="s">
        <v>33</v>
      </c>
      <c r="K7" s="53" t="s">
        <v>169</v>
      </c>
      <c r="L7" s="15"/>
      <c r="M7" s="15"/>
      <c r="N7" s="15"/>
      <c r="O7" s="54"/>
      <c r="P7" s="55" t="s">
        <v>154</v>
      </c>
      <c r="Q7" s="56"/>
      <c r="R7" s="56"/>
      <c r="S7" s="56"/>
      <c r="T7" s="54"/>
      <c r="W7" s="72" t="s">
        <v>270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136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322</v>
      </c>
      <c r="D8" s="30" t="s">
        <v>45</v>
      </c>
      <c r="E8" s="30">
        <v>2</v>
      </c>
      <c r="F8" s="30">
        <v>1</v>
      </c>
      <c r="G8" s="30" t="s">
        <v>302</v>
      </c>
      <c r="H8" s="30"/>
      <c r="I8" s="30"/>
      <c r="J8" s="40" t="s">
        <v>31</v>
      </c>
      <c r="K8" s="53" t="s">
        <v>109</v>
      </c>
      <c r="L8" s="15" t="s">
        <v>299</v>
      </c>
      <c r="M8" s="15"/>
      <c r="N8" s="15"/>
      <c r="O8" s="54"/>
      <c r="P8" s="55"/>
      <c r="Q8" s="56" t="s">
        <v>141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302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323</v>
      </c>
      <c r="D9" s="30" t="s">
        <v>49</v>
      </c>
      <c r="E9" s="30"/>
      <c r="F9" s="30"/>
      <c r="G9" s="30" t="s">
        <v>302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251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154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306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136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268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302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260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251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136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263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316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304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169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253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170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312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171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182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280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278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267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219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317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176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320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277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322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188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324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323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279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177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178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283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136</v>
      </c>
      <c r="AN2" s="4" t="s">
        <v>244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136</v>
      </c>
    </row>
    <row r="3" spans="1:47">
      <c r="A3" s="49">
        <v>45070</v>
      </c>
      <c r="B3" s="30" t="s">
        <v>126</v>
      </c>
      <c r="C3" s="30" t="s">
        <v>137</v>
      </c>
      <c r="D3" s="30" t="s">
        <v>45</v>
      </c>
      <c r="E3" s="30">
        <v>3</v>
      </c>
      <c r="F3" s="30">
        <v>0</v>
      </c>
      <c r="G3" s="30" t="s">
        <v>303</v>
      </c>
      <c r="H3" s="30"/>
      <c r="I3" s="30"/>
      <c r="J3" s="40" t="s">
        <v>31</v>
      </c>
      <c r="K3" s="53" t="s">
        <v>271</v>
      </c>
      <c r="L3" s="15" t="s">
        <v>109</v>
      </c>
      <c r="M3" s="15" t="s">
        <v>278</v>
      </c>
      <c r="N3" s="15"/>
      <c r="O3" s="54"/>
      <c r="P3" s="55" t="s">
        <v>169</v>
      </c>
      <c r="Q3" s="56" t="s">
        <v>110</v>
      </c>
      <c r="R3" s="56" t="s">
        <v>141</v>
      </c>
      <c r="S3" s="56"/>
      <c r="T3" s="54"/>
      <c r="W3" s="72" t="s">
        <v>299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303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252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127</v>
      </c>
      <c r="C4" s="30" t="s">
        <v>140</v>
      </c>
      <c r="D4" s="30" t="s">
        <v>45</v>
      </c>
      <c r="E4" s="30">
        <v>3</v>
      </c>
      <c r="F4" s="30">
        <v>2</v>
      </c>
      <c r="G4" s="30" t="s">
        <v>303</v>
      </c>
      <c r="H4" s="30"/>
      <c r="I4" s="30"/>
      <c r="J4" s="40" t="s">
        <v>31</v>
      </c>
      <c r="K4" s="53" t="s">
        <v>299</v>
      </c>
      <c r="L4" s="15" t="s">
        <v>270</v>
      </c>
      <c r="M4" s="15" t="s">
        <v>270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251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128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251</v>
      </c>
      <c r="H5" s="30" t="s">
        <v>252</v>
      </c>
      <c r="I5" s="30" t="s">
        <v>253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271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141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270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136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303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251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154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306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136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268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260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251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136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263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253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169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170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312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171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182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280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278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267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219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317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176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137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277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140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188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279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177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178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283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136</v>
      </c>
      <c r="AO2" s="4" t="s">
        <v>244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136</v>
      </c>
    </row>
    <row r="3" spans="1:48">
      <c r="A3" s="49"/>
      <c r="B3" s="73">
        <v>1</v>
      </c>
      <c r="C3" s="73" t="s">
        <v>140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299</v>
      </c>
      <c r="X3" s="51">
        <f t="shared" ref="X3:X37" si="0">COUNTIF(K$3:O$40,W3)</f>
        <v>4</v>
      </c>
      <c r="Y3" s="1"/>
      <c r="Z3" s="72" t="s">
        <v>299</v>
      </c>
      <c r="AA3" s="51">
        <f t="shared" ref="AA3:AA37" si="1">COUNTIF(P$3:T$40,Z3)</f>
        <v>0</v>
      </c>
      <c r="AD3" s="20" t="s">
        <v>249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250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326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251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301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280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327</v>
      </c>
      <c r="X5" s="51">
        <f t="shared" si="0"/>
        <v>1</v>
      </c>
      <c r="Y5" s="1"/>
      <c r="Z5" s="72" t="s">
        <v>271</v>
      </c>
      <c r="AA5" s="51">
        <f t="shared" si="1"/>
        <v>0</v>
      </c>
      <c r="AD5" s="2" t="s">
        <v>255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328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141</v>
      </c>
      <c r="X6" s="51">
        <f t="shared" si="0"/>
        <v>5</v>
      </c>
      <c r="Y6" s="1"/>
      <c r="Z6" s="72" t="s">
        <v>141</v>
      </c>
      <c r="AA6" s="51">
        <f t="shared" si="1"/>
        <v>0</v>
      </c>
      <c r="AD6" s="2" t="s">
        <v>303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300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260</v>
      </c>
      <c r="X7" s="51">
        <f t="shared" si="0"/>
        <v>4</v>
      </c>
      <c r="Y7" s="1"/>
      <c r="Z7" s="72" t="s">
        <v>270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254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143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256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154</v>
      </c>
      <c r="X9" s="51">
        <f t="shared" si="0"/>
        <v>3</v>
      </c>
      <c r="Y9" s="1"/>
      <c r="Z9" s="72" t="s">
        <v>154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136</v>
      </c>
      <c r="AO9" s="20" t="s">
        <v>329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264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263</v>
      </c>
      <c r="X10" s="51">
        <f t="shared" si="0"/>
        <v>0</v>
      </c>
      <c r="Y10" s="1"/>
      <c r="Z10" s="72" t="s">
        <v>263</v>
      </c>
      <c r="AA10" s="51">
        <f t="shared" si="1"/>
        <v>0</v>
      </c>
      <c r="AC10" s="2" t="s">
        <v>45</v>
      </c>
      <c r="AD10" s="2" t="s">
        <v>249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330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72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251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252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245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268</v>
      </c>
      <c r="X12" s="51">
        <f t="shared" si="0"/>
        <v>0</v>
      </c>
      <c r="Y12" s="1"/>
      <c r="Z12" s="72" t="s">
        <v>268</v>
      </c>
      <c r="AA12" s="51">
        <f t="shared" si="1"/>
        <v>0</v>
      </c>
      <c r="AC12" s="2" t="s">
        <v>45</v>
      </c>
      <c r="AD12" s="2" t="s">
        <v>255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331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303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247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327</v>
      </c>
      <c r="M14" s="76"/>
      <c r="N14" s="76"/>
      <c r="O14" s="77"/>
      <c r="P14" s="78"/>
      <c r="Q14" s="79"/>
      <c r="R14" s="79"/>
      <c r="S14" s="79"/>
      <c r="T14" s="77"/>
      <c r="W14" s="70" t="s">
        <v>169</v>
      </c>
      <c r="X14" s="51">
        <f t="shared" si="0"/>
        <v>2</v>
      </c>
      <c r="Y14" s="1"/>
      <c r="Z14" s="70" t="s">
        <v>169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136</v>
      </c>
    </row>
    <row r="15" spans="1:48">
      <c r="A15" s="50"/>
      <c r="B15" s="73">
        <v>13</v>
      </c>
      <c r="C15" s="73" t="s">
        <v>264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332</v>
      </c>
      <c r="X15" s="51">
        <f t="shared" si="0"/>
        <v>0</v>
      </c>
      <c r="Y15" s="1"/>
      <c r="Z15" s="70" t="s">
        <v>332</v>
      </c>
      <c r="AA15" s="51">
        <f t="shared" si="1"/>
        <v>0</v>
      </c>
      <c r="AO15" s="2" t="s">
        <v>259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317</v>
      </c>
      <c r="X16" s="51">
        <f t="shared" si="0"/>
        <v>1</v>
      </c>
      <c r="Y16" s="1"/>
      <c r="Z16" s="70" t="s">
        <v>317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136</v>
      </c>
      <c r="AO16" s="2" t="s">
        <v>262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143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260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249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269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72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141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170</v>
      </c>
      <c r="X18" s="51">
        <f t="shared" si="0"/>
        <v>0</v>
      </c>
      <c r="Y18" s="1"/>
      <c r="Z18" s="70" t="s">
        <v>170</v>
      </c>
      <c r="AA18" s="51">
        <f t="shared" si="1"/>
        <v>0</v>
      </c>
      <c r="AC18" s="2" t="s">
        <v>49</v>
      </c>
      <c r="AD18" s="2" t="s">
        <v>251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253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260</v>
      </c>
      <c r="O19" s="77"/>
      <c r="P19" s="78"/>
      <c r="Q19" s="79"/>
      <c r="R19" s="79"/>
      <c r="S19" s="79"/>
      <c r="T19" s="77"/>
      <c r="W19" s="70" t="s">
        <v>312</v>
      </c>
      <c r="X19" s="51">
        <f t="shared" si="0"/>
        <v>0</v>
      </c>
      <c r="Y19" s="1"/>
      <c r="Z19" s="70" t="s">
        <v>312</v>
      </c>
      <c r="AA19" s="51">
        <f t="shared" si="1"/>
        <v>0</v>
      </c>
      <c r="AC19" s="2" t="s">
        <v>49</v>
      </c>
      <c r="AD19" s="2" t="s">
        <v>255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333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171</v>
      </c>
      <c r="X20" s="51">
        <f t="shared" si="0"/>
        <v>0</v>
      </c>
      <c r="Y20" s="1"/>
      <c r="Z20" s="70" t="s">
        <v>171</v>
      </c>
      <c r="AA20" s="51">
        <f t="shared" si="1"/>
        <v>0</v>
      </c>
      <c r="AC20" s="2" t="s">
        <v>49</v>
      </c>
      <c r="AD20" s="2" t="s">
        <v>303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314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140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181</v>
      </c>
      <c r="X21" s="51">
        <f t="shared" si="0"/>
        <v>0</v>
      </c>
      <c r="Y21" s="1"/>
      <c r="Z21" s="70" t="s">
        <v>181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248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245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51">
        <f t="shared" si="0"/>
        <v>0</v>
      </c>
      <c r="Y22" s="1"/>
      <c r="Z22" s="70" t="s">
        <v>182</v>
      </c>
      <c r="AA22" s="51">
        <f t="shared" si="1"/>
        <v>0</v>
      </c>
      <c r="AO22" s="20" t="s">
        <v>334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141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280</v>
      </c>
      <c r="X23" s="51">
        <f t="shared" si="0"/>
        <v>1</v>
      </c>
      <c r="Y23" s="1"/>
      <c r="Z23" s="70" t="s">
        <v>280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141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278</v>
      </c>
      <c r="X24" s="51">
        <f t="shared" si="0"/>
        <v>0</v>
      </c>
      <c r="Y24" s="1"/>
      <c r="Z24" s="70" t="s">
        <v>278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143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245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141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267</v>
      </c>
      <c r="X26" s="51">
        <f t="shared" si="0"/>
        <v>0</v>
      </c>
      <c r="Y26" s="1"/>
      <c r="Z26" s="70" t="s">
        <v>267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264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299</v>
      </c>
      <c r="M27" s="15" t="s">
        <v>169</v>
      </c>
      <c r="N27" s="15"/>
      <c r="O27" s="54"/>
      <c r="P27" s="55"/>
      <c r="Q27" s="56"/>
      <c r="R27" s="56"/>
      <c r="S27" s="56"/>
      <c r="T27" s="54"/>
      <c r="W27" s="71" t="s">
        <v>176</v>
      </c>
      <c r="X27" s="51">
        <f t="shared" si="0"/>
        <v>0</v>
      </c>
      <c r="Y27" s="1"/>
      <c r="Z27" s="71" t="s">
        <v>176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299</v>
      </c>
      <c r="L28" s="15" t="s">
        <v>260</v>
      </c>
      <c r="M28" s="15" t="s">
        <v>299</v>
      </c>
      <c r="N28" s="15"/>
      <c r="O28" s="54"/>
      <c r="P28" s="55"/>
      <c r="Q28" s="56"/>
      <c r="R28" s="56"/>
      <c r="S28" s="56"/>
      <c r="T28" s="54"/>
      <c r="W28" s="71" t="s">
        <v>277</v>
      </c>
      <c r="X28" s="51">
        <f t="shared" si="0"/>
        <v>0</v>
      </c>
      <c r="Y28" s="1"/>
      <c r="Z28" s="71" t="s">
        <v>277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260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188</v>
      </c>
      <c r="X29" s="51">
        <f t="shared" si="0"/>
        <v>0</v>
      </c>
      <c r="Y29" s="1"/>
      <c r="Z29" s="71" t="s">
        <v>188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299</v>
      </c>
      <c r="L30" s="15" t="s">
        <v>169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279</v>
      </c>
      <c r="X31" s="51">
        <f t="shared" si="0"/>
        <v>0</v>
      </c>
      <c r="Y31" s="1"/>
      <c r="Z31" s="71" t="s">
        <v>279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72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335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72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140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335</v>
      </c>
      <c r="L33" s="15" t="s">
        <v>306</v>
      </c>
      <c r="M33" s="15" t="s">
        <v>154</v>
      </c>
      <c r="N33" s="15"/>
      <c r="O33" s="54"/>
      <c r="P33" s="55"/>
      <c r="Q33" s="56"/>
      <c r="R33" s="56"/>
      <c r="S33" s="56"/>
      <c r="T33" s="54"/>
      <c r="W33" s="71" t="s">
        <v>177</v>
      </c>
      <c r="X33" s="51">
        <f t="shared" si="0"/>
        <v>0</v>
      </c>
      <c r="Y33" s="1"/>
      <c r="Z33" s="71" t="s">
        <v>177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245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178</v>
      </c>
      <c r="X36" s="51">
        <f t="shared" si="0"/>
        <v>0</v>
      </c>
      <c r="Y36" s="1"/>
      <c r="Z36" s="68" t="s">
        <v>178</v>
      </c>
      <c r="AA36" s="51">
        <f t="shared" si="1"/>
        <v>0</v>
      </c>
      <c r="AD36" s="2" t="s">
        <v>264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283</v>
      </c>
      <c r="X37" s="52">
        <f t="shared" si="0"/>
        <v>0</v>
      </c>
      <c r="Y37" s="1"/>
      <c r="Z37" s="69" t="s">
        <v>283</v>
      </c>
      <c r="AA37" s="52">
        <f t="shared" si="1"/>
        <v>0</v>
      </c>
      <c r="AD37" s="2" t="s">
        <v>140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72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317</v>
      </c>
      <c r="L38" s="58" t="s">
        <v>154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141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143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154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136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249</v>
      </c>
      <c r="H3" s="20" t="s">
        <v>33</v>
      </c>
      <c r="K3" s="2" t="s">
        <v>249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264</v>
      </c>
      <c r="D4" s="20" t="s">
        <v>45</v>
      </c>
      <c r="E4" s="20">
        <v>2</v>
      </c>
      <c r="F4" s="20">
        <v>1</v>
      </c>
      <c r="G4" s="20" t="s">
        <v>251</v>
      </c>
      <c r="H4" s="20" t="s">
        <v>31</v>
      </c>
      <c r="K4" s="2" t="s">
        <v>251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251</v>
      </c>
      <c r="H5" s="20" t="s">
        <v>33</v>
      </c>
      <c r="K5" s="2" t="s">
        <v>255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251</v>
      </c>
      <c r="H6" s="20" t="s">
        <v>33</v>
      </c>
      <c r="K6" s="2" t="s">
        <v>303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245</v>
      </c>
      <c r="D7" s="20" t="s">
        <v>45</v>
      </c>
      <c r="E7" s="20">
        <v>4</v>
      </c>
      <c r="F7" s="20">
        <v>1</v>
      </c>
      <c r="G7" s="20" t="s">
        <v>255</v>
      </c>
      <c r="H7" s="20" t="s">
        <v>31</v>
      </c>
      <c r="K7" s="20" t="s">
        <v>273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255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249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136</v>
      </c>
    </row>
    <row r="10" spans="1:18">
      <c r="A10" s="21">
        <v>44293</v>
      </c>
      <c r="B10" s="20">
        <v>8</v>
      </c>
      <c r="C10" s="20" t="s">
        <v>140</v>
      </c>
      <c r="D10" s="20" t="s">
        <v>45</v>
      </c>
      <c r="E10" s="20">
        <v>0</v>
      </c>
      <c r="F10" s="20">
        <v>0</v>
      </c>
      <c r="G10" s="20" t="s">
        <v>249</v>
      </c>
      <c r="H10" s="20" t="s">
        <v>32</v>
      </c>
      <c r="J10" s="2" t="s">
        <v>45</v>
      </c>
      <c r="K10" s="2" t="s">
        <v>249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251</v>
      </c>
      <c r="H11" s="20" t="s">
        <v>33</v>
      </c>
      <c r="J11" s="2" t="s">
        <v>45</v>
      </c>
      <c r="K11" s="2" t="s">
        <v>251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72</v>
      </c>
      <c r="D12" s="20" t="s">
        <v>45</v>
      </c>
      <c r="E12" s="20">
        <v>0</v>
      </c>
      <c r="F12" s="20">
        <v>3</v>
      </c>
      <c r="G12" s="20" t="s">
        <v>251</v>
      </c>
      <c r="H12" s="20" t="s">
        <v>33</v>
      </c>
      <c r="J12" s="2" t="s">
        <v>45</v>
      </c>
      <c r="K12" s="2" t="s">
        <v>255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143</v>
      </c>
      <c r="D13" s="20" t="s">
        <v>49</v>
      </c>
      <c r="E13" s="20">
        <v>3</v>
      </c>
      <c r="F13" s="20">
        <v>1</v>
      </c>
      <c r="G13" s="20" t="s">
        <v>255</v>
      </c>
      <c r="H13" s="20" t="s">
        <v>31</v>
      </c>
      <c r="J13" s="2" t="s">
        <v>45</v>
      </c>
      <c r="K13" s="2" t="s">
        <v>303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251</v>
      </c>
      <c r="H14" s="20" t="s">
        <v>32</v>
      </c>
      <c r="J14" s="2" t="s">
        <v>45</v>
      </c>
      <c r="K14" s="20" t="s">
        <v>273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336</v>
      </c>
      <c r="R14" s="9" t="s">
        <v>336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255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264</v>
      </c>
      <c r="D16" s="20" t="s">
        <v>49</v>
      </c>
      <c r="E16" s="20">
        <v>0</v>
      </c>
      <c r="F16" s="20">
        <v>3</v>
      </c>
      <c r="G16" s="20" t="s">
        <v>251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136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249</v>
      </c>
      <c r="H17" s="20" t="s">
        <v>32</v>
      </c>
      <c r="J17" s="2" t="s">
        <v>49</v>
      </c>
      <c r="K17" s="2" t="s">
        <v>249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249</v>
      </c>
      <c r="H18" s="20" t="s">
        <v>31</v>
      </c>
      <c r="J18" s="2" t="s">
        <v>49</v>
      </c>
      <c r="K18" s="2" t="s">
        <v>251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245</v>
      </c>
      <c r="D19" s="20" t="s">
        <v>49</v>
      </c>
      <c r="E19" s="20">
        <v>2</v>
      </c>
      <c r="F19" s="20">
        <v>2</v>
      </c>
      <c r="G19" s="20" t="s">
        <v>255</v>
      </c>
      <c r="H19" s="20" t="s">
        <v>32</v>
      </c>
      <c r="J19" s="2" t="s">
        <v>49</v>
      </c>
      <c r="K19" s="2" t="s">
        <v>255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251</v>
      </c>
      <c r="H20" s="20" t="s">
        <v>32</v>
      </c>
      <c r="J20" s="2" t="s">
        <v>49</v>
      </c>
      <c r="K20" s="2" t="s">
        <v>303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251</v>
      </c>
      <c r="H21" s="20" t="s">
        <v>31</v>
      </c>
      <c r="J21" s="2" t="s">
        <v>49</v>
      </c>
      <c r="K21" s="20" t="s">
        <v>273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140</v>
      </c>
      <c r="D22" s="20" t="s">
        <v>49</v>
      </c>
      <c r="E22" s="20">
        <v>2</v>
      </c>
      <c r="F22" s="20">
        <v>1</v>
      </c>
      <c r="G22" s="20" t="s">
        <v>251</v>
      </c>
      <c r="H22" s="20" t="s">
        <v>31</v>
      </c>
    </row>
    <row r="23" spans="1:20">
      <c r="A23" s="21">
        <v>44408</v>
      </c>
      <c r="B23" s="20">
        <v>21</v>
      </c>
      <c r="C23" s="20" t="s">
        <v>72</v>
      </c>
      <c r="D23" s="20" t="s">
        <v>49</v>
      </c>
      <c r="E23" s="20">
        <v>4</v>
      </c>
      <c r="F23" s="20">
        <v>1</v>
      </c>
      <c r="G23" s="20" t="s">
        <v>303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245</v>
      </c>
      <c r="D24" s="20" t="s">
        <v>45</v>
      </c>
      <c r="E24" s="20">
        <v>0</v>
      </c>
      <c r="F24" s="20">
        <v>0</v>
      </c>
      <c r="G24" s="20" t="s">
        <v>251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249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143</v>
      </c>
      <c r="D26" s="20" t="s">
        <v>45</v>
      </c>
      <c r="E26" s="20">
        <v>1</v>
      </c>
      <c r="F26" s="20">
        <v>0</v>
      </c>
      <c r="G26" s="20" t="s">
        <v>251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264</v>
      </c>
      <c r="D27" s="20" t="s">
        <v>45</v>
      </c>
      <c r="E27" s="20">
        <v>2</v>
      </c>
      <c r="F27" s="20">
        <v>0</v>
      </c>
      <c r="G27" s="20" t="s">
        <v>303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251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72</v>
      </c>
      <c r="D29" s="20" t="s">
        <v>45</v>
      </c>
      <c r="E29" s="20">
        <v>1</v>
      </c>
      <c r="F29" s="20">
        <v>2</v>
      </c>
      <c r="G29" s="20" t="s">
        <v>249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143</v>
      </c>
      <c r="D30" s="20" t="s">
        <v>45</v>
      </c>
      <c r="E30" s="20">
        <v>0</v>
      </c>
      <c r="F30" s="20">
        <v>1</v>
      </c>
      <c r="G30" s="20" t="s">
        <v>249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249</v>
      </c>
      <c r="H31" s="20" t="s">
        <v>32</v>
      </c>
      <c r="K31" s="2" t="s">
        <v>264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249</v>
      </c>
      <c r="H32" s="20" t="s">
        <v>33</v>
      </c>
      <c r="K32" s="2" t="s">
        <v>72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140</v>
      </c>
      <c r="D33" s="20" t="s">
        <v>45</v>
      </c>
      <c r="E33" s="20">
        <v>0</v>
      </c>
      <c r="F33" s="20">
        <v>1</v>
      </c>
      <c r="G33" s="20" t="s">
        <v>251</v>
      </c>
      <c r="H33" s="20" t="s">
        <v>33</v>
      </c>
      <c r="K33" s="2" t="s">
        <v>245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251</v>
      </c>
      <c r="H34" s="20" t="s">
        <v>33</v>
      </c>
      <c r="K34" s="2" t="s">
        <v>140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303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249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143</v>
      </c>
      <c r="D37" s="20" t="s">
        <v>49</v>
      </c>
      <c r="E37" s="20">
        <v>1</v>
      </c>
      <c r="F37" s="20">
        <v>1</v>
      </c>
      <c r="G37" s="20" t="s">
        <v>251</v>
      </c>
      <c r="H37" s="20" t="s">
        <v>32</v>
      </c>
      <c r="I37" s="3"/>
      <c r="K37" s="2" t="s">
        <v>143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249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255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273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299</v>
      </c>
      <c r="D2" t="s">
        <v>271</v>
      </c>
    </row>
    <row r="3" spans="1:4">
      <c r="B3" t="s">
        <v>154</v>
      </c>
      <c r="C3" t="s">
        <v>270</v>
      </c>
      <c r="D3" t="s">
        <v>141</v>
      </c>
    </row>
    <row r="4" spans="1:4">
      <c r="B4" t="s">
        <v>263</v>
      </c>
      <c r="C4" t="s">
        <v>260</v>
      </c>
      <c r="D4" t="s">
        <v>109</v>
      </c>
    </row>
    <row r="5" spans="1:4">
      <c r="B5" t="s">
        <v>268</v>
      </c>
      <c r="C5" t="s">
        <v>54</v>
      </c>
    </row>
    <row r="7" spans="1:4">
      <c r="A7" t="s">
        <v>110</v>
      </c>
      <c r="B7" t="s">
        <v>170</v>
      </c>
      <c r="C7" t="s">
        <v>74</v>
      </c>
      <c r="D7" t="s">
        <v>280</v>
      </c>
    </row>
    <row r="8" spans="1:4">
      <c r="A8" t="s">
        <v>169</v>
      </c>
      <c r="B8" t="s">
        <v>93</v>
      </c>
      <c r="C8" t="s">
        <v>332</v>
      </c>
      <c r="D8" t="s">
        <v>278</v>
      </c>
    </row>
    <row r="9" spans="1:4">
      <c r="B9" t="s">
        <v>317</v>
      </c>
      <c r="C9" t="s">
        <v>312</v>
      </c>
    </row>
    <row r="10" spans="1:4">
      <c r="B10" t="s">
        <v>181</v>
      </c>
      <c r="C10" t="s">
        <v>171</v>
      </c>
    </row>
    <row r="11" spans="1:4">
      <c r="C11" t="s">
        <v>182</v>
      </c>
    </row>
    <row r="13" spans="1:4">
      <c r="B13" t="s">
        <v>176</v>
      </c>
      <c r="C13" t="s">
        <v>277</v>
      </c>
      <c r="D13" t="s">
        <v>188</v>
      </c>
    </row>
    <row r="14" spans="1:4">
      <c r="B14" t="s">
        <v>97</v>
      </c>
      <c r="C14" t="s">
        <v>279</v>
      </c>
      <c r="D14" t="s">
        <v>104</v>
      </c>
    </row>
    <row r="15" spans="1:4">
      <c r="B15" t="s">
        <v>177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178</v>
      </c>
    </row>
    <row r="20" spans="3:3">
      <c r="C20" t="s">
        <v>283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2026-08-23T07:42:18Z</dcterms:modified>
</cp:coreProperties>
</file>